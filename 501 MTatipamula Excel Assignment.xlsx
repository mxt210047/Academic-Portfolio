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mayuk\Downloads\"/>
    </mc:Choice>
  </mc:AlternateContent>
  <xr:revisionPtr revIDLastSave="0" documentId="8_{4F5CDA53-CBB9-4072-BFBA-BA080CDED5B6}" xr6:coauthVersionLast="47" xr6:coauthVersionMax="47" xr10:uidLastSave="{00000000-0000-0000-0000-000000000000}"/>
  <bookViews>
    <workbookView xWindow="37560" yWindow="1875" windowWidth="14400" windowHeight="7275" xr2:uid="{00000000-000D-0000-FFFF-FFFF00000000}"/>
  </bookViews>
  <sheets>
    <sheet name="Table of Contents" sheetId="27" r:id="rId1"/>
    <sheet name="Q1 - Quarterly" sheetId="2" r:id="rId2"/>
    <sheet name="Q2 - 2018 vs 2019" sheetId="4" r:id="rId3"/>
    <sheet name="Q3 - Quantity Sold" sheetId="5" r:id="rId4"/>
    <sheet name="Q4 - Profit by Category" sheetId="14" r:id="rId5"/>
    <sheet name="Q5 - Sales by Month" sheetId="22" r:id="rId6"/>
    <sheet name="Q6 - Qtr. Profit" sheetId="26" r:id="rId7"/>
    <sheet name="Q7 - Revenue Analysis" sheetId="8" r:id="rId8"/>
    <sheet name="Raw Data" sheetId="1" r:id="rId9"/>
  </sheets>
  <definedNames>
    <definedName name="_xlnm._FilterDatabase" localSheetId="8" hidden="1">'Raw Data'!$A$1:$M$7865</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7" i="8" l="1"/>
  <c r="C23" i="4"/>
  <c r="B23" i="4"/>
  <c r="B11" i="8"/>
  <c r="C4" i="5"/>
  <c r="C5" i="5"/>
  <c r="C3" i="5"/>
  <c r="C21" i="4"/>
  <c r="C22" i="4"/>
  <c r="B22" i="4"/>
  <c r="B21" i="4"/>
  <c r="D4" i="4"/>
  <c r="D5" i="4"/>
  <c r="D6" i="4"/>
  <c r="D7" i="4"/>
  <c r="D8" i="4"/>
  <c r="D9" i="4"/>
  <c r="D10" i="4"/>
  <c r="D11" i="4"/>
  <c r="D12" i="4"/>
  <c r="D13" i="4"/>
  <c r="D14" i="4"/>
  <c r="D15" i="4"/>
  <c r="D16" i="4"/>
  <c r="D17" i="4"/>
  <c r="D18" i="4"/>
  <c r="D19" i="4"/>
  <c r="D3" i="4"/>
  <c r="B23" i="2"/>
  <c r="C23" i="2"/>
  <c r="D23" i="2"/>
  <c r="E23" i="2"/>
  <c r="C22" i="2"/>
  <c r="D22" i="2"/>
  <c r="E22" i="2"/>
  <c r="B22" i="2"/>
  <c r="C21" i="2"/>
  <c r="D21" i="2"/>
  <c r="E21" i="2"/>
  <c r="B21" i="2"/>
  <c r="F4" i="2"/>
  <c r="F5" i="2"/>
  <c r="F6" i="2"/>
  <c r="F7" i="2"/>
  <c r="F8" i="2"/>
  <c r="F9" i="2"/>
  <c r="F10" i="2"/>
  <c r="F11" i="2"/>
  <c r="F12" i="2"/>
  <c r="F13" i="2"/>
  <c r="F14" i="2"/>
  <c r="F15" i="2"/>
  <c r="F16" i="2"/>
  <c r="F17" i="2"/>
  <c r="F18" i="2"/>
  <c r="F19" i="2"/>
  <c r="F3" i="2"/>
  <c r="B4" i="8"/>
  <c r="N3" i="1"/>
  <c r="F23" i="2" l="1"/>
  <c r="F21" i="2"/>
  <c r="F22" i="2"/>
</calcChain>
</file>

<file path=xl/sharedStrings.xml><?xml version="1.0" encoding="utf-8"?>
<sst xmlns="http://schemas.openxmlformats.org/spreadsheetml/2006/main" count="3178" uniqueCount="630">
  <si>
    <t>Ord_id</t>
  </si>
  <si>
    <t>Prod_id</t>
  </si>
  <si>
    <t>Cust_id</t>
  </si>
  <si>
    <t>Sales</t>
  </si>
  <si>
    <t>Discount</t>
  </si>
  <si>
    <t>Order_Quantity</t>
  </si>
  <si>
    <t>Profit</t>
  </si>
  <si>
    <t>Shipping_Cost</t>
  </si>
  <si>
    <t>Product_Base_Margin</t>
  </si>
  <si>
    <t>Prod_16</t>
  </si>
  <si>
    <t>Prod_13</t>
  </si>
  <si>
    <t>Prod_4</t>
  </si>
  <si>
    <t>Prod_6</t>
  </si>
  <si>
    <t>Prod_17</t>
  </si>
  <si>
    <t>Prod_12</t>
  </si>
  <si>
    <t>Prod_2</t>
  </si>
  <si>
    <t>Prod_11</t>
  </si>
  <si>
    <t>Prod_10</t>
  </si>
  <si>
    <t>Prod_5</t>
  </si>
  <si>
    <t>Prod_9</t>
  </si>
  <si>
    <t>Prod_15</t>
  </si>
  <si>
    <t>Prod_7</t>
  </si>
  <si>
    <t>Prod_3</t>
  </si>
  <si>
    <t>Cust_452</t>
  </si>
  <si>
    <t>Ord_1189</t>
  </si>
  <si>
    <t>Prod_1</t>
  </si>
  <si>
    <t>Prod_8</t>
  </si>
  <si>
    <t>Prod_14</t>
  </si>
  <si>
    <t>Ord_127</t>
  </si>
  <si>
    <t>Cust_86</t>
  </si>
  <si>
    <t>Cust_45</t>
  </si>
  <si>
    <t>Ord_121</t>
  </si>
  <si>
    <t>NA</t>
  </si>
  <si>
    <t>Ord_139</t>
  </si>
  <si>
    <t>Cust_498</t>
  </si>
  <si>
    <t>Ord_1442</t>
  </si>
  <si>
    <t>Ord_1375</t>
  </si>
  <si>
    <t>Ord_1520</t>
  </si>
  <si>
    <t>Ord_1503</t>
  </si>
  <si>
    <t>Ord_1395</t>
  </si>
  <si>
    <t>Cust_515</t>
  </si>
  <si>
    <t>Ord_1481</t>
  </si>
  <si>
    <t>Cust_506</t>
  </si>
  <si>
    <t>Ord_1327</t>
  </si>
  <si>
    <t>Cust_564</t>
  </si>
  <si>
    <t>Ord_1544</t>
  </si>
  <si>
    <t>Cust_547</t>
  </si>
  <si>
    <t>Ord_1437</t>
  </si>
  <si>
    <t>Cust_1307</t>
  </si>
  <si>
    <t>Cust_531</t>
  </si>
  <si>
    <t>Ord_1377</t>
  </si>
  <si>
    <t>Cust_566</t>
  </si>
  <si>
    <t>Ord_1579</t>
  </si>
  <si>
    <t>Ord_153</t>
  </si>
  <si>
    <t>Cust_80</t>
  </si>
  <si>
    <t>Ord_116</t>
  </si>
  <si>
    <t>Cust_470</t>
  </si>
  <si>
    <t>Ord_1226</t>
  </si>
  <si>
    <t>Ord_142</t>
  </si>
  <si>
    <t>Cust_51</t>
  </si>
  <si>
    <t>Cust_494</t>
  </si>
  <si>
    <t>Ord_1386</t>
  </si>
  <si>
    <t>Ord_1017</t>
  </si>
  <si>
    <t>Cust_384</t>
  </si>
  <si>
    <t>Ord_1028</t>
  </si>
  <si>
    <t>Cust_528</t>
  </si>
  <si>
    <t>Ord_1452</t>
  </si>
  <si>
    <t>Cust_363</t>
  </si>
  <si>
    <t>Ord_1026</t>
  </si>
  <si>
    <t>Ord_1022</t>
  </si>
  <si>
    <t>Cust_78</t>
  </si>
  <si>
    <t>Ord_131</t>
  </si>
  <si>
    <t>Cust_67</t>
  </si>
  <si>
    <t>Ord_106</t>
  </si>
  <si>
    <t>Ord_1153</t>
  </si>
  <si>
    <t>Cust_444</t>
  </si>
  <si>
    <t>Ord_1154</t>
  </si>
  <si>
    <t>Ord_1157</t>
  </si>
  <si>
    <t>Ord_1160</t>
  </si>
  <si>
    <t>Ord_1167</t>
  </si>
  <si>
    <t>Ord_1181</t>
  </si>
  <si>
    <t>Ord_1128</t>
  </si>
  <si>
    <t>Cust_435</t>
  </si>
  <si>
    <t>Cust_928</t>
  </si>
  <si>
    <t>Cust_513</t>
  </si>
  <si>
    <t>Ord_1486</t>
  </si>
  <si>
    <t>Ord_1342</t>
  </si>
  <si>
    <t>Cust_440</t>
  </si>
  <si>
    <t>Ord_1155</t>
  </si>
  <si>
    <t>Ord_1149</t>
  </si>
  <si>
    <t>Ord_1173</t>
  </si>
  <si>
    <t>Cust_449</t>
  </si>
  <si>
    <t>Ord_1172</t>
  </si>
  <si>
    <t>Ord_1003</t>
  </si>
  <si>
    <t>Cust_376</t>
  </si>
  <si>
    <t>Ord_1025</t>
  </si>
  <si>
    <t>Ord_1006</t>
  </si>
  <si>
    <t>Cust_378</t>
  </si>
  <si>
    <t>Cust_553</t>
  </si>
  <si>
    <t>Ord_1566</t>
  </si>
  <si>
    <t>Ord_1057</t>
  </si>
  <si>
    <t>Cust_403</t>
  </si>
  <si>
    <t>Ord_1079</t>
  </si>
  <si>
    <t>Cust_414</t>
  </si>
  <si>
    <t>Ord_1039</t>
  </si>
  <si>
    <t>Cust_398</t>
  </si>
  <si>
    <t>Ord_1068</t>
  </si>
  <si>
    <t>Ord_1052</t>
  </si>
  <si>
    <t>Cust_1426</t>
  </si>
  <si>
    <t>Ord_1092</t>
  </si>
  <si>
    <t>Cust_413</t>
  </si>
  <si>
    <t>Ord_1078</t>
  </si>
  <si>
    <t>Cust_43</t>
  </si>
  <si>
    <t>Ord_102</t>
  </si>
  <si>
    <t>Cust_85</t>
  </si>
  <si>
    <t>Ord_145</t>
  </si>
  <si>
    <t>Ord_1536</t>
  </si>
  <si>
    <t>Cust_561</t>
  </si>
  <si>
    <t>Cust_14</t>
  </si>
  <si>
    <t>Ord_16</t>
  </si>
  <si>
    <t>Cust_82</t>
  </si>
  <si>
    <t>Ord_120</t>
  </si>
  <si>
    <t>Cust_62</t>
  </si>
  <si>
    <t>Ord_104</t>
  </si>
  <si>
    <t>Cust_4</t>
  </si>
  <si>
    <t>Ord_15</t>
  </si>
  <si>
    <t>Ord_1005</t>
  </si>
  <si>
    <t>Cust_377</t>
  </si>
  <si>
    <t>Ord_1584</t>
  </si>
  <si>
    <t>Cust_567</t>
  </si>
  <si>
    <t>Ord_1089</t>
  </si>
  <si>
    <t>Cust_416</t>
  </si>
  <si>
    <t>Ord_1141</t>
  </si>
  <si>
    <t>Ord_1081</t>
  </si>
  <si>
    <t>Ord_1137</t>
  </si>
  <si>
    <t>Ord_1120</t>
  </si>
  <si>
    <t>Ord_1147</t>
  </si>
  <si>
    <t>Cust_439</t>
  </si>
  <si>
    <t>Ord_1145</t>
  </si>
  <si>
    <t>Cust_514</t>
  </si>
  <si>
    <t>Ord_1571</t>
  </si>
  <si>
    <t>Ord_1344</t>
  </si>
  <si>
    <t>Ord_1038</t>
  </si>
  <si>
    <t>Cust_397</t>
  </si>
  <si>
    <t>Ord_1049</t>
  </si>
  <si>
    <t>Ord_1062</t>
  </si>
  <si>
    <t>Ord_1067</t>
  </si>
  <si>
    <t>Ord_1061</t>
  </si>
  <si>
    <t>Ord_1139</t>
  </si>
  <si>
    <t>Cust_422</t>
  </si>
  <si>
    <t>Ord_1105</t>
  </si>
  <si>
    <t>Ord_1093</t>
  </si>
  <si>
    <t>Ord_10</t>
  </si>
  <si>
    <t>Cust_10</t>
  </si>
  <si>
    <t>Ord_137</t>
  </si>
  <si>
    <t>Cust_81</t>
  </si>
  <si>
    <t>Ord_117</t>
  </si>
  <si>
    <t>Cust_437</t>
  </si>
  <si>
    <t>Ord_1144</t>
  </si>
  <si>
    <t>Cust_551</t>
  </si>
  <si>
    <t>Ord_1545</t>
  </si>
  <si>
    <t>Ord_1498</t>
  </si>
  <si>
    <t>Cust_368</t>
  </si>
  <si>
    <t>Ord_1014</t>
  </si>
  <si>
    <t>Cust_512</t>
  </si>
  <si>
    <t>Ord_1396</t>
  </si>
  <si>
    <t>Ord_1560</t>
  </si>
  <si>
    <t>Ord_1358</t>
  </si>
  <si>
    <t>Cust_523</t>
  </si>
  <si>
    <t>Ord_1454</t>
  </si>
  <si>
    <t>Ord_1385</t>
  </si>
  <si>
    <t>Cust_521</t>
  </si>
  <si>
    <t>Ord_1384</t>
  </si>
  <si>
    <t>Ord_1356</t>
  </si>
  <si>
    <t>Cust_557</t>
  </si>
  <si>
    <t>Ord_1497</t>
  </si>
  <si>
    <t>Cust_527</t>
  </si>
  <si>
    <t>Ord_1402</t>
  </si>
  <si>
    <t>Ord_1439</t>
  </si>
  <si>
    <t>Ord_1368</t>
  </si>
  <si>
    <t>Cust_803</t>
  </si>
  <si>
    <t>Cust_694</t>
  </si>
  <si>
    <t>Cust_559</t>
  </si>
  <si>
    <t>Ord_1577</t>
  </si>
  <si>
    <t>Ord_1387</t>
  </si>
  <si>
    <t>Cust_535</t>
  </si>
  <si>
    <t>Ord_1029</t>
  </si>
  <si>
    <t>Cust_389</t>
  </si>
  <si>
    <t>Cust_48</t>
  </si>
  <si>
    <t>Ord_103</t>
  </si>
  <si>
    <t>Ord_1099</t>
  </si>
  <si>
    <t>Cust_425</t>
  </si>
  <si>
    <t>Cust_79</t>
  </si>
  <si>
    <t>Ord_115</t>
  </si>
  <si>
    <t>Ord_1136</t>
  </si>
  <si>
    <t>Cust_436</t>
  </si>
  <si>
    <t>Ord_1164</t>
  </si>
  <si>
    <t>Cust_445</t>
  </si>
  <si>
    <t>Ord_1158</t>
  </si>
  <si>
    <t>Ord_1514</t>
  </si>
  <si>
    <t>Cust_529</t>
  </si>
  <si>
    <t>Ord_1459</t>
  </si>
  <si>
    <t>Ord_1597</t>
  </si>
  <si>
    <t>Cust_491</t>
  </si>
  <si>
    <t>Ord_1310</t>
  </si>
  <si>
    <t>Cust_496</t>
  </si>
  <si>
    <t>Ord_1399</t>
  </si>
  <si>
    <t>Ord_1409</t>
  </si>
  <si>
    <t>Cust_502</t>
  </si>
  <si>
    <t>Ord_1379</t>
  </si>
  <si>
    <t>Ord_1568</t>
  </si>
  <si>
    <t>Cust_518</t>
  </si>
  <si>
    <t>Ord_1588</t>
  </si>
  <si>
    <t>Ord_1475</t>
  </si>
  <si>
    <t>Ord_1353</t>
  </si>
  <si>
    <t>Ord_1311</t>
  </si>
  <si>
    <t>Cust_492</t>
  </si>
  <si>
    <t>Ord_1424</t>
  </si>
  <si>
    <t>Ord_1443</t>
  </si>
  <si>
    <t>Cust_550</t>
  </si>
  <si>
    <t>Ord_1485</t>
  </si>
  <si>
    <t>Ord_1575</t>
  </si>
  <si>
    <t>Cust_500</t>
  </si>
  <si>
    <t>Ord_1564</t>
  </si>
  <si>
    <t>Cust_511</t>
  </si>
  <si>
    <t>Ord_1449</t>
  </si>
  <si>
    <t>Ord_1374</t>
  </si>
  <si>
    <t>Ord_1340</t>
  </si>
  <si>
    <t>Cust_487</t>
  </si>
  <si>
    <t>Ord_1499</t>
  </si>
  <si>
    <t>Ord_1419</t>
  </si>
  <si>
    <t>Cust_562</t>
  </si>
  <si>
    <t>Ord_1529</t>
  </si>
  <si>
    <t>Ord_146</t>
  </si>
  <si>
    <t>Cust_60</t>
  </si>
  <si>
    <t>Ord_152</t>
  </si>
  <si>
    <t>Cust_517</t>
  </si>
  <si>
    <t>Ord_1563</t>
  </si>
  <si>
    <t>Ord_1266</t>
  </si>
  <si>
    <t>Cust_477</t>
  </si>
  <si>
    <t>Cust_507</t>
  </si>
  <si>
    <t>Ord_1469</t>
  </si>
  <si>
    <t>Ord_1382</t>
  </si>
  <si>
    <t>Cust_532</t>
  </si>
  <si>
    <t>Ord_1378</t>
  </si>
  <si>
    <t>Cust_73</t>
  </si>
  <si>
    <t>Ord_101</t>
  </si>
  <si>
    <t>Cust_89</t>
  </si>
  <si>
    <t>Ord_159</t>
  </si>
  <si>
    <t>Ord_130</t>
  </si>
  <si>
    <t>Cust_1064</t>
  </si>
  <si>
    <t>Ord_1335</t>
  </si>
  <si>
    <t>Cust_508</t>
  </si>
  <si>
    <t>Ord_1394</t>
  </si>
  <si>
    <t>Ord_1501</t>
  </si>
  <si>
    <t>Cust_545</t>
  </si>
  <si>
    <t>Ord_1433</t>
  </si>
  <si>
    <t>Ord_1435</t>
  </si>
  <si>
    <t>Cust_503</t>
  </si>
  <si>
    <t>Ord_1332</t>
  </si>
  <si>
    <t>Cust_541</t>
  </si>
  <si>
    <t>Ord_1595</t>
  </si>
  <si>
    <t>Ord_1462</t>
  </si>
  <si>
    <t>Ord_1434</t>
  </si>
  <si>
    <t>Cust_526</t>
  </si>
  <si>
    <t>Ord_1412</t>
  </si>
  <si>
    <t>Cust_554</t>
  </si>
  <si>
    <t>Ord_1473</t>
  </si>
  <si>
    <t>Cust_63</t>
  </si>
  <si>
    <t>Ord_118</t>
  </si>
  <si>
    <t>Ord_1041</t>
  </si>
  <si>
    <t>Cust_399</t>
  </si>
  <si>
    <t>Cust_412</t>
  </si>
  <si>
    <t>Ord_1122</t>
  </si>
  <si>
    <t>Ord_1132</t>
  </si>
  <si>
    <t>Ord_1076</t>
  </si>
  <si>
    <t>Ord_1094</t>
  </si>
  <si>
    <t>Ord_1033</t>
  </si>
  <si>
    <t>Cust_392</t>
  </si>
  <si>
    <t>Ord_1064</t>
  </si>
  <si>
    <t>Cust_404</t>
  </si>
  <si>
    <t>Ord_1058</t>
  </si>
  <si>
    <t>Cust_1787</t>
  </si>
  <si>
    <t>Ord_1191</t>
  </si>
  <si>
    <t>Ord_1183</t>
  </si>
  <si>
    <t>Cust_451</t>
  </si>
  <si>
    <t>Ord_1185</t>
  </si>
  <si>
    <t>Ord_1178</t>
  </si>
  <si>
    <t>Cust_395</t>
  </si>
  <si>
    <t>Ord_1056</t>
  </si>
  <si>
    <t>Ord_1042</t>
  </si>
  <si>
    <t>Ord_1036</t>
  </si>
  <si>
    <t>Ord_1413</t>
  </si>
  <si>
    <t>Cust_488</t>
  </si>
  <si>
    <t>Ord_1366</t>
  </si>
  <si>
    <t>Ord_1071</t>
  </si>
  <si>
    <t>Cust_408</t>
  </si>
  <si>
    <t>Ord_1383</t>
  </si>
  <si>
    <t>Cust_534</t>
  </si>
  <si>
    <t>Ord_134</t>
  </si>
  <si>
    <t>Cust_91</t>
  </si>
  <si>
    <t>Cust_138</t>
  </si>
  <si>
    <t>Cust_501</t>
  </si>
  <si>
    <t>Ord_1525</t>
  </si>
  <si>
    <t>Ord_1578</t>
  </si>
  <si>
    <t>Ord_1428</t>
  </si>
  <si>
    <t>Ord_1343</t>
  </si>
  <si>
    <t>Cust_427</t>
  </si>
  <si>
    <t>Ord_1102</t>
  </si>
  <si>
    <t>Cust_478</t>
  </si>
  <si>
    <t>Ord_1268</t>
  </si>
  <si>
    <t>Ord_1060</t>
  </si>
  <si>
    <t>Cust_405</t>
  </si>
  <si>
    <t>Cust_465</t>
  </si>
  <si>
    <t>Ord_1252</t>
  </si>
  <si>
    <t>Ord_1230</t>
  </si>
  <si>
    <t>Ord_1355</t>
  </si>
  <si>
    <t>Cust_520</t>
  </si>
  <si>
    <t>Ord_1031</t>
  </si>
  <si>
    <t>Cust_390</t>
  </si>
  <si>
    <t>Ord_1171</t>
  </si>
  <si>
    <t>Cust_448</t>
  </si>
  <si>
    <t>Ord_1420</t>
  </si>
  <si>
    <t>Cust_542</t>
  </si>
  <si>
    <t>Ord_1599</t>
  </si>
  <si>
    <t>Cust_471</t>
  </si>
  <si>
    <t>Ord_1232</t>
  </si>
  <si>
    <t>Ord_1274</t>
  </si>
  <si>
    <t>Ord_1231</t>
  </si>
  <si>
    <t>Cust_467</t>
  </si>
  <si>
    <t>Ord_1275</t>
  </si>
  <si>
    <t>Ord_1244</t>
  </si>
  <si>
    <t>Ord_1278</t>
  </si>
  <si>
    <t>Ord_1241</t>
  </si>
  <si>
    <t>Ord_1590</t>
  </si>
  <si>
    <t>Cust_556</t>
  </si>
  <si>
    <t>Ord_1502</t>
  </si>
  <si>
    <t>Cust_417</t>
  </si>
  <si>
    <t>Ord_1119</t>
  </si>
  <si>
    <t>Ord_1082</t>
  </si>
  <si>
    <t>Ord_1037</t>
  </si>
  <si>
    <t>Cust_396</t>
  </si>
  <si>
    <t>Ord_1040</t>
  </si>
  <si>
    <t>Ord_1107</t>
  </si>
  <si>
    <t>Cust_428</t>
  </si>
  <si>
    <t>Ord_1121</t>
  </si>
  <si>
    <t>Ord_1130</t>
  </si>
  <si>
    <t>Ord_1066</t>
  </si>
  <si>
    <t>Cust_406</t>
  </si>
  <si>
    <t>Ord_1063</t>
  </si>
  <si>
    <t>Ord_1367</t>
  </si>
  <si>
    <t>Cust_493</t>
  </si>
  <si>
    <t>Ord_1411</t>
  </si>
  <si>
    <t>Cust_499</t>
  </si>
  <si>
    <t>Ord_1318</t>
  </si>
  <si>
    <t>Ord_1339</t>
  </si>
  <si>
    <t>Ord_1016</t>
  </si>
  <si>
    <t>Cust_383</t>
  </si>
  <si>
    <t>Ord_1048</t>
  </si>
  <si>
    <t>Cust_401</t>
  </si>
  <si>
    <t>Ord_1072</t>
  </si>
  <si>
    <t>Ord_1051</t>
  </si>
  <si>
    <t>Ord_1047</t>
  </si>
  <si>
    <t>Cust_1145</t>
  </si>
  <si>
    <t>Ord_1083</t>
  </si>
  <si>
    <t>Cust_418</t>
  </si>
  <si>
    <t>Cust_539</t>
  </si>
  <si>
    <t>Ord_1418</t>
  </si>
  <si>
    <t>Ord_1296</t>
  </si>
  <si>
    <t>Cust_484</t>
  </si>
  <si>
    <t>Ord_1289</t>
  </si>
  <si>
    <t>Cust_454</t>
  </si>
  <si>
    <t>Ord_1143</t>
  </si>
  <si>
    <t>Cust_438</t>
  </si>
  <si>
    <t>Ord_1059</t>
  </si>
  <si>
    <t>Cust_393</t>
  </si>
  <si>
    <t>Ord_1034</t>
  </si>
  <si>
    <t>Cust_410</t>
  </si>
  <si>
    <t>Ord_1073</t>
  </si>
  <si>
    <t>Cust_424</t>
  </si>
  <si>
    <t>Ord_1098</t>
  </si>
  <si>
    <t>Cust_540</t>
  </si>
  <si>
    <t>Ord_1438</t>
  </si>
  <si>
    <t>Ord_1567</t>
  </si>
  <si>
    <t>Ord_1431</t>
  </si>
  <si>
    <t>Ord_1065</t>
  </si>
  <si>
    <t>Cust_407</t>
  </si>
  <si>
    <t>Ord_1069</t>
  </si>
  <si>
    <t>Cust_402</t>
  </si>
  <si>
    <t>Ord_1055</t>
  </si>
  <si>
    <t>Ord_1050</t>
  </si>
  <si>
    <t>Ord_1053</t>
  </si>
  <si>
    <t>Ord_1138</t>
  </si>
  <si>
    <t>Cust_411</t>
  </si>
  <si>
    <t>Ord_1077</t>
  </si>
  <si>
    <t>Ord_1075</t>
  </si>
  <si>
    <t>Ord_1113</t>
  </si>
  <si>
    <t>Ord_1074</t>
  </si>
  <si>
    <t>Ord_1002</t>
  </si>
  <si>
    <t>Cust_375</t>
  </si>
  <si>
    <t>Ord_1030</t>
  </si>
  <si>
    <t>Cust_374</t>
  </si>
  <si>
    <t>Ord_1001</t>
  </si>
  <si>
    <t>Ord_1070</t>
  </si>
  <si>
    <t>Cust_400</t>
  </si>
  <si>
    <t>Ord_1043</t>
  </si>
  <si>
    <t>Ord_1021</t>
  </si>
  <si>
    <t>Cust_387</t>
  </si>
  <si>
    <t>Ord_1045</t>
  </si>
  <si>
    <t>Cust_391</t>
  </si>
  <si>
    <t>Ord_1044</t>
  </si>
  <si>
    <t>Ord_1046</t>
  </si>
  <si>
    <t>Ord_1032</t>
  </si>
  <si>
    <t>Ord_1054</t>
  </si>
  <si>
    <t>Cust_421</t>
  </si>
  <si>
    <t>Ord_1112</t>
  </si>
  <si>
    <t>Ord_1111</t>
  </si>
  <si>
    <t>Ord_1091</t>
  </si>
  <si>
    <t>Ord_1133</t>
  </si>
  <si>
    <t>Ord_1581</t>
  </si>
  <si>
    <t>Cust_519</t>
  </si>
  <si>
    <t>Ord_1546</t>
  </si>
  <si>
    <t>Ord_1354</t>
  </si>
  <si>
    <t>Ord_1447</t>
  </si>
  <si>
    <t>Ord_1013</t>
  </si>
  <si>
    <t>Cust_382</t>
  </si>
  <si>
    <t>Ord_1012</t>
  </si>
  <si>
    <t>Cust_558</t>
  </si>
  <si>
    <t>Ord_1538</t>
  </si>
  <si>
    <t>Ord_100</t>
  </si>
  <si>
    <t>Cust_58</t>
  </si>
  <si>
    <t>Ord_1011</t>
  </si>
  <si>
    <t>Cust_381</t>
  </si>
  <si>
    <t>Ord_1</t>
  </si>
  <si>
    <t>Cust_1</t>
  </si>
  <si>
    <t>Cust_555</t>
  </si>
  <si>
    <t>Ord_1491</t>
  </si>
  <si>
    <t>Ord_1414</t>
  </si>
  <si>
    <t>Cust_536</t>
  </si>
  <si>
    <t>Ord_1453</t>
  </si>
  <si>
    <t>Ord_1389</t>
  </si>
  <si>
    <t>Cust_544</t>
  </si>
  <si>
    <t>Ord_1489</t>
  </si>
  <si>
    <t>Ord_1243</t>
  </si>
  <si>
    <t>Cust_472</t>
  </si>
  <si>
    <t>Ord_1239</t>
  </si>
  <si>
    <t>Ord_1247</t>
  </si>
  <si>
    <t>Ord_1023</t>
  </si>
  <si>
    <t>Cust_388</t>
  </si>
  <si>
    <t>Ord_1015</t>
  </si>
  <si>
    <t>Cust_370</t>
  </si>
  <si>
    <t>Ord_1020</t>
  </si>
  <si>
    <t>Cust_386</t>
  </si>
  <si>
    <t>Cust_1143</t>
  </si>
  <si>
    <t>Ord_1007</t>
  </si>
  <si>
    <t>Cust_379</t>
  </si>
  <si>
    <t>Ord_105</t>
  </si>
  <si>
    <t>Cust_74</t>
  </si>
  <si>
    <t>Cust_75</t>
  </si>
  <si>
    <t>Ord_123</t>
  </si>
  <si>
    <t>Ord_107</t>
  </si>
  <si>
    <t>Cust_568</t>
  </si>
  <si>
    <t>Ord_1585</t>
  </si>
  <si>
    <t>Ord_1004</t>
  </si>
  <si>
    <t>Cust_365</t>
  </si>
  <si>
    <t>Cust_522</t>
  </si>
  <si>
    <t>Ord_1357</t>
  </si>
  <si>
    <t>Ord_1284</t>
  </si>
  <si>
    <t>Cust_480</t>
  </si>
  <si>
    <t>Cust_464</t>
  </si>
  <si>
    <t>Ord_1255</t>
  </si>
  <si>
    <t>Ord_1272</t>
  </si>
  <si>
    <t>Ord_1251</t>
  </si>
  <si>
    <t>Cust_469</t>
  </si>
  <si>
    <t>Ord_1256</t>
  </si>
  <si>
    <t>Cust_468</t>
  </si>
  <si>
    <t>Ord_1218</t>
  </si>
  <si>
    <t>Ord_1236</t>
  </si>
  <si>
    <t>Cust_483</t>
  </si>
  <si>
    <t>Ord_1293</t>
  </si>
  <si>
    <t>Ord_1209</t>
  </si>
  <si>
    <t>Cust_463</t>
  </si>
  <si>
    <t>Cust_462</t>
  </si>
  <si>
    <t>Ord_1213</t>
  </si>
  <si>
    <t>Cust_466</t>
  </si>
  <si>
    <t>Ord_1277</t>
  </si>
  <si>
    <t>Ord_1271</t>
  </si>
  <si>
    <t>Ord_1035</t>
  </si>
  <si>
    <t>Cust_394</t>
  </si>
  <si>
    <t>Cust_419</t>
  </si>
  <si>
    <t>Ord_1106</t>
  </si>
  <si>
    <t>Cust_362</t>
  </si>
  <si>
    <t>Ord_1018</t>
  </si>
  <si>
    <t>Ord_1228</t>
  </si>
  <si>
    <t>Cust_473</t>
  </si>
  <si>
    <t>Ord_1238</t>
  </si>
  <si>
    <t>Ord_1229</t>
  </si>
  <si>
    <t>Ord_1192</t>
  </si>
  <si>
    <t>Cust_455</t>
  </si>
  <si>
    <t>Cust_442</t>
  </si>
  <si>
    <t>Ord_1163</t>
  </si>
  <si>
    <t>Ord_1162</t>
  </si>
  <si>
    <t>Cust_447</t>
  </si>
  <si>
    <t>Ord_1203</t>
  </si>
  <si>
    <t>Cust_458</t>
  </si>
  <si>
    <t>Ord_1211</t>
  </si>
  <si>
    <t>Ord_1212</t>
  </si>
  <si>
    <t>Ord_1008</t>
  </si>
  <si>
    <t>Cust_380</t>
  </si>
  <si>
    <t>Ord_1024</t>
  </si>
  <si>
    <t>Cust_373</t>
  </si>
  <si>
    <t>Ord_1000</t>
  </si>
  <si>
    <t>Ord_1019</t>
  </si>
  <si>
    <t>Cust_385</t>
  </si>
  <si>
    <t>Cust_490</t>
  </si>
  <si>
    <t>Ord_1591</t>
  </si>
  <si>
    <t>Ord_1338</t>
  </si>
  <si>
    <t>Cust_486</t>
  </si>
  <si>
    <t>Ord_1345</t>
  </si>
  <si>
    <t>Ord_1331</t>
  </si>
  <si>
    <t>Ord_1321</t>
  </si>
  <si>
    <t>Cust_495</t>
  </si>
  <si>
    <t>Ord_1388</t>
  </si>
  <si>
    <t>Ord_1009</t>
  </si>
  <si>
    <t>Cust_366</t>
  </si>
  <si>
    <t>Ord_1010</t>
  </si>
  <si>
    <t>Ord_1027</t>
  </si>
  <si>
    <t>Cust_533</t>
  </si>
  <si>
    <t>Ord_1381</t>
  </si>
  <si>
    <t>Cust_71</t>
  </si>
  <si>
    <t>Ord_144</t>
  </si>
  <si>
    <t>Order_Date</t>
  </si>
  <si>
    <t>Order_Priority</t>
  </si>
  <si>
    <t>LOW</t>
  </si>
  <si>
    <t>NOT SPECIFIED</t>
  </si>
  <si>
    <t>HIGH</t>
  </si>
  <si>
    <t>MEDIUM</t>
  </si>
  <si>
    <t>CRITICAL</t>
  </si>
  <si>
    <t>OFFICE SUPPLIES</t>
  </si>
  <si>
    <t>STORAGE &amp; ORGANIZATION</t>
  </si>
  <si>
    <t>FURNITURE</t>
  </si>
  <si>
    <t>BOOKCASES</t>
  </si>
  <si>
    <t>TABLES</t>
  </si>
  <si>
    <t>LABELS</t>
  </si>
  <si>
    <t>PENS &amp; ART SUPPLIES</t>
  </si>
  <si>
    <t>TECHNOLOGY</t>
  </si>
  <si>
    <t>COPIERS AND FAX</t>
  </si>
  <si>
    <t>CHAIRS &amp; CHAIRMATS</t>
  </si>
  <si>
    <t>SCISSORS, RULERS AND TRIMMERS</t>
  </si>
  <si>
    <t>OFFICE MACHINES</t>
  </si>
  <si>
    <t>APPLIANCES</t>
  </si>
  <si>
    <t>BINDERS AND BINDER ACCESSORIES</t>
  </si>
  <si>
    <t>TELEPHONES AND COMMUNICATION</t>
  </si>
  <si>
    <t>OFFICE FURNISHINGS</t>
  </si>
  <si>
    <t>PAPER</t>
  </si>
  <si>
    <t>RUBBER BANDS</t>
  </si>
  <si>
    <t>COMPUTER PERIPHERALS</t>
  </si>
  <si>
    <t>ENVELOPES</t>
  </si>
  <si>
    <t>Product_Category</t>
  </si>
  <si>
    <t>Product_Sub_Category</t>
  </si>
  <si>
    <t>Product Name</t>
  </si>
  <si>
    <t>Q1</t>
  </si>
  <si>
    <t>Q2</t>
  </si>
  <si>
    <t>Q3</t>
  </si>
  <si>
    <t>Q4</t>
  </si>
  <si>
    <t>Total</t>
  </si>
  <si>
    <t>Median</t>
  </si>
  <si>
    <t>% Change</t>
  </si>
  <si>
    <t>Product Category</t>
  </si>
  <si>
    <t>Quantity Sold</t>
  </si>
  <si>
    <t>Assumptions (based on last year):</t>
  </si>
  <si>
    <t>Revenue</t>
  </si>
  <si>
    <t>Amount</t>
  </si>
  <si>
    <t>Office Supply Revenue Analysis</t>
  </si>
  <si>
    <t>Profit Margin</t>
  </si>
  <si>
    <t>Average</t>
  </si>
  <si>
    <t xml:space="preserve">Total </t>
  </si>
  <si>
    <t>Standard Deviation</t>
  </si>
  <si>
    <t>Year 2019</t>
  </si>
  <si>
    <t>Year 2020 (est)</t>
  </si>
  <si>
    <t>2020 increase estimate</t>
  </si>
  <si>
    <t>Office Supply Company Quarterly Product Sales 2018 and 2019</t>
  </si>
  <si>
    <t xml:space="preserve">Office Supply Company Quarterly Product Sales 2019 </t>
  </si>
  <si>
    <t>Grand Total</t>
  </si>
  <si>
    <t>Row Labels</t>
  </si>
  <si>
    <t>(All)</t>
  </si>
  <si>
    <t>Product categories and subcategories</t>
  </si>
  <si>
    <t>Jan</t>
  </si>
  <si>
    <t>Feb</t>
  </si>
  <si>
    <t>Mar</t>
  </si>
  <si>
    <t>Apr</t>
  </si>
  <si>
    <t>May</t>
  </si>
  <si>
    <t>Jun</t>
  </si>
  <si>
    <t>Jul</t>
  </si>
  <si>
    <t>Aug</t>
  </si>
  <si>
    <t>Sep</t>
  </si>
  <si>
    <t>Oct</t>
  </si>
  <si>
    <t>Nov</t>
  </si>
  <si>
    <t>Dec</t>
  </si>
  <si>
    <t>Qtr1</t>
  </si>
  <si>
    <t>Qtr2</t>
  </si>
  <si>
    <t>Qtr3</t>
  </si>
  <si>
    <t>Qtr4</t>
  </si>
  <si>
    <t>Profit as a percentage of grand total</t>
  </si>
  <si>
    <t>Profit in Dollars</t>
  </si>
  <si>
    <t>Quarter 1</t>
  </si>
  <si>
    <t>Quarter 2</t>
  </si>
  <si>
    <t>Quarter 3</t>
  </si>
  <si>
    <t>Quarter 4</t>
  </si>
  <si>
    <t>Order Date</t>
  </si>
  <si>
    <t>Sales by order date</t>
  </si>
  <si>
    <t>Order Dates</t>
  </si>
  <si>
    <t>Profit of product categories by quarter</t>
  </si>
  <si>
    <t>Table of Contents</t>
  </si>
  <si>
    <t>Q1 - Quarterly</t>
  </si>
  <si>
    <t>Q2 - 2018 vs 2019</t>
  </si>
  <si>
    <t>Q3 - Quantity Sold</t>
  </si>
  <si>
    <t>Q4 - Profit by Category</t>
  </si>
  <si>
    <t>Q5 - Sales by Month</t>
  </si>
  <si>
    <t>Q6 - Qtr. Profit</t>
  </si>
  <si>
    <t>Q7 - Revenue Analysis</t>
  </si>
  <si>
    <t>Raw Data</t>
  </si>
  <si>
    <t>Office Supply Revenue Analysis based on sales</t>
  </si>
  <si>
    <t>Office Supply Revenue Analysis based on profit margin</t>
  </si>
  <si>
    <t>Based on the sales data from 2018 to 2019, it is recommended that the company discontinue Appliances and Rubber Bands, as both products experienced a significant drop in sales of more than 50%. Appliances saw a drastic decline of 96%, while Rubber Bands dropped by 71%, indicating a substantial decrease in customer demand. On the other hand, the top three products with the highest increase in sales were Storage &amp; Organization (39%), Labels (37%), and Bookcases (27%). These products demonstrated strong growth and may benefit from continued investment and promotional focus.</t>
  </si>
  <si>
    <t>In order for the Office Supply Company to achieve a revenue target of $100,000, two separate financial strategies can be considered. Based on last year’s data, if the discount remains at 5%, total sales would need to reach $956,937.80 in order to meet the revenue goal. Alternatively, if the total sales are $713,932.37 with the same 5% discount applied, then the company would need to maintain a profit margin of 15% to achieve the same $100,000 in revenue. These two approaches highlight the critical relationship between sales volume, discount rates, and profit margins in reaching revenue objectives.</t>
  </si>
  <si>
    <t>Based on the data provided, the company has projected a 10% increase in quantity sold across all product categories for the year 2020 compared to 2019. The estimated quantities reflect this growth:
Furniture is expected to increase from 2,438 units in 2019 to 2,682 units in 2020.
Office Supplies are projected to rise from 6,824 to 7,506 units.
Technology is forecasted to grow from 3,075 to 3,383 units.
These estimates align with the 10% growth assumption and are visually represented in the accompanying bar chart, showing that Office Supplies remain the dominant category in terms of volume sold, followed by Technology and Furniture.</t>
  </si>
  <si>
    <t>The busiest sales by month is November.</t>
  </si>
  <si>
    <r>
      <rPr>
        <b/>
        <sz val="18"/>
        <color theme="1"/>
        <rFont val="Times New Roman"/>
        <family val="1"/>
      </rPr>
      <t>Purpose:</t>
    </r>
    <r>
      <rPr>
        <sz val="18"/>
        <color theme="1"/>
        <rFont val="Times New Roman"/>
        <family val="1"/>
      </rPr>
      <t xml:space="preserve"> The purpose of this Excel sheet is to provide a comprehensive analysis of MFC's office supply sales performance over the past year. This analysis aims to help management evaluate product-level performance, identify trends in quantity sold, and assess the impact of discounts and profit margins on revenue. The insights gained will support strategic decision-making regarding which products to continue offering, potential discontinuations, and adjustments to staffing during peak sales periods. Additionally, the sheet includes estimates and visualizations for future growth, enabling the company to plan effectively for the upcoming year and ensure sustainable business expansion.</t>
    </r>
  </si>
  <si>
    <t>The rank of profit from highest to lowest is technology, office supplies, and 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</si>
</sst>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3"/>
      <name val="Calibri"/>
      <family val="2"/>
      <scheme val="minor"/>
    </font>
    <font>
      <sz val="11"/>
      <color theme="4"/>
      <name val="Calibri"/>
      <family val="2"/>
      <scheme val="minor"/>
    </font>
    <font>
      <sz val="11"/>
      <color rgb="FF00B0F0"/>
      <name val="Calibri"/>
      <family val="2"/>
      <scheme val="minor"/>
    </font>
    <font>
      <b/>
      <sz val="11"/>
      <color theme="4"/>
      <name val="Calibri"/>
      <family val="2"/>
      <scheme val="minor"/>
    </font>
    <font>
      <i/>
      <sz val="11"/>
      <color theme="1"/>
      <name val="Calibri"/>
      <family val="2"/>
      <scheme val="minor"/>
    </font>
    <font>
      <b/>
      <u/>
      <sz val="14"/>
      <color theme="1"/>
      <name val="Calibri"/>
      <family val="2"/>
      <scheme val="minor"/>
    </font>
    <font>
      <b/>
      <u/>
      <sz val="12"/>
      <color theme="1"/>
      <name val="Calibri"/>
      <family val="2"/>
      <scheme val="minor"/>
    </font>
    <font>
      <u/>
      <sz val="11"/>
      <color theme="10"/>
      <name val="Calibri"/>
      <family val="2"/>
      <scheme val="minor"/>
    </font>
    <font>
      <b/>
      <sz val="11"/>
      <color rgb="FF002060"/>
      <name val="Calibri"/>
      <family val="2"/>
      <scheme val="minor"/>
    </font>
    <font>
      <sz val="11"/>
      <color rgb="FF7030A0"/>
      <name val="Calibri"/>
      <family val="2"/>
      <scheme val="minor"/>
    </font>
    <font>
      <sz val="28"/>
      <color theme="1"/>
      <name val="Calibri"/>
      <family val="2"/>
      <scheme val="minor"/>
    </font>
    <font>
      <b/>
      <u/>
      <sz val="36"/>
      <color theme="1"/>
      <name val="Times New Roman"/>
      <family val="1"/>
    </font>
    <font>
      <b/>
      <sz val="18"/>
      <color theme="1"/>
      <name val="Times New Roman"/>
      <family val="1"/>
    </font>
    <font>
      <sz val="1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37">
    <xf numFmtId="0" fontId="0" fillId="0" borderId="0" xfId="0"/>
    <xf numFmtId="14" fontId="0" fillId="0" borderId="0" xfId="0" applyNumberFormat="1"/>
    <xf numFmtId="0" fontId="0" fillId="0" borderId="0" xfId="0" applyAlignment="1">
      <alignment horizontal="left"/>
    </xf>
    <xf numFmtId="9" fontId="0" fillId="0" borderId="0" xfId="2" applyFont="1"/>
    <xf numFmtId="0" fontId="0" fillId="0" borderId="0" xfId="0" applyAlignment="1">
      <alignment vertical="center"/>
    </xf>
    <xf numFmtId="44" fontId="0" fillId="0" borderId="0" xfId="0" applyNumberFormat="1"/>
    <xf numFmtId="0" fontId="16" fillId="0" borderId="0" xfId="0" applyFont="1"/>
    <xf numFmtId="0" fontId="16" fillId="0" borderId="10" xfId="0"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44" fontId="0" fillId="0" borderId="13" xfId="1" applyFont="1" applyBorder="1"/>
    <xf numFmtId="44" fontId="0" fillId="0" borderId="0" xfId="1" applyFont="1"/>
    <xf numFmtId="2" fontId="0" fillId="0" borderId="13" xfId="0" applyNumberFormat="1" applyBorder="1"/>
    <xf numFmtId="0" fontId="19" fillId="0" borderId="0" xfId="0" applyFont="1"/>
    <xf numFmtId="0" fontId="20" fillId="0" borderId="0" xfId="0" applyFont="1" applyAlignment="1">
      <alignment horizontal="left"/>
    </xf>
    <xf numFmtId="0" fontId="21" fillId="0" borderId="0" xfId="0" applyFont="1"/>
    <xf numFmtId="0" fontId="22" fillId="0" borderId="0" xfId="0" applyFont="1" applyAlignment="1">
      <alignment horizontal="left"/>
    </xf>
    <xf numFmtId="0" fontId="23" fillId="0" borderId="0" xfId="0" applyFont="1"/>
    <xf numFmtId="0" fontId="24" fillId="0" borderId="0" xfId="0" applyFont="1"/>
    <xf numFmtId="0" fontId="0" fillId="0" borderId="0" xfId="0" pivotButton="1"/>
    <xf numFmtId="10" fontId="0" fillId="0" borderId="0" xfId="0" applyNumberFormat="1"/>
    <xf numFmtId="0" fontId="26" fillId="0" borderId="0" xfId="0" applyFont="1"/>
    <xf numFmtId="0" fontId="18" fillId="0" borderId="0" xfId="0" applyFont="1" applyAlignment="1">
      <alignment horizontal="left"/>
    </xf>
    <xf numFmtId="0" fontId="27" fillId="0" borderId="0" xfId="0" applyFont="1" applyAlignment="1">
      <alignment horizontal="left"/>
    </xf>
    <xf numFmtId="1" fontId="0" fillId="0" borderId="0" xfId="0" applyNumberFormat="1"/>
    <xf numFmtId="0" fontId="0" fillId="0" borderId="0" xfId="0" applyAlignment="1">
      <alignment horizontal="left" indent="1"/>
    </xf>
    <xf numFmtId="0" fontId="28" fillId="0" borderId="0" xfId="0" applyFont="1"/>
    <xf numFmtId="0" fontId="29" fillId="0" borderId="0" xfId="0" applyFont="1"/>
    <xf numFmtId="0" fontId="25" fillId="0" borderId="0" xfId="44"/>
    <xf numFmtId="44" fontId="1" fillId="0" borderId="0" xfId="1" applyFill="1"/>
    <xf numFmtId="0" fontId="21" fillId="33" borderId="0" xfId="0" applyFont="1" applyFill="1"/>
    <xf numFmtId="44" fontId="1" fillId="33" borderId="0" xfId="1" applyFill="1"/>
    <xf numFmtId="0" fontId="0" fillId="0" borderId="0" xfId="0" applyAlignment="1">
      <alignment wrapText="1"/>
    </xf>
    <xf numFmtId="0" fontId="31" fillId="0" borderId="0" xfId="0" applyFon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2">
    <dxf>
      <font>
        <color rgb="FF9C0006"/>
      </font>
      <fill>
        <patternFill>
          <bgColor rgb="FFFFC7CE"/>
        </patternFill>
      </fill>
    </dxf>
    <dxf>
      <font>
        <color rgb="FF006100"/>
      </font>
      <fill>
        <patternFill>
          <bgColor rgb="FFC6EFCE"/>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font>
        <color rgb="FF9C0006"/>
      </font>
      <fill>
        <patternFill>
          <bgColor rgb="FFFFC7CE"/>
        </patternFill>
      </fill>
    </dxf>
    <dxf>
      <font>
        <color rgb="FF006100"/>
      </font>
      <fill>
        <patternFill>
          <bgColor rgb="FFC6EFCE"/>
        </patternFill>
      </fill>
    </dxf>
    <dxf>
      <numFmt numFmtId="14" formatCode="0.00%"/>
    </dxf>
    <dxf>
      <numFmt numFmtId="34" formatCode="_(&quot;$&quot;* #,##0.00_);_(&quot;$&quot;* \(#,##0.00\);_(&quot;$&quot;* &quot;-&quot;??_);_(@_)"/>
    </dxf>
    <dxf>
      <numFmt numFmtId="2" formatCode="0.00"/>
    </dxf>
    <dxf>
      <numFmt numFmtId="2" formatCode="0.0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baseline="0">
                <a:effectLst/>
              </a:rPr>
              <a:t>Office Supply Company Product Sales 2019 </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Sum of Q1</c:v>
          </c:tx>
          <c:spPr>
            <a:solidFill>
              <a:schemeClr val="accent1"/>
            </a:solidFill>
            <a:ln>
              <a:noFill/>
            </a:ln>
            <a:effectLst/>
          </c:spPr>
          <c:invertIfNegative val="0"/>
          <c:cat>
            <c:strLit>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Lit>
          </c:cat>
          <c:val>
            <c:numLit>
              <c:formatCode>General</c:formatCode>
              <c:ptCount val="17"/>
              <c:pt idx="0">
                <c:v>97.93</c:v>
              </c:pt>
              <c:pt idx="1">
                <c:v>19512.77</c:v>
              </c:pt>
              <c:pt idx="2">
                <c:v>5113.49</c:v>
              </c:pt>
              <c:pt idx="3">
                <c:v>21754.38</c:v>
              </c:pt>
              <c:pt idx="4">
                <c:v>11109.52</c:v>
              </c:pt>
              <c:pt idx="5">
                <c:v>0</c:v>
              </c:pt>
              <c:pt idx="6">
                <c:v>945.06999999999994</c:v>
              </c:pt>
              <c:pt idx="7">
                <c:v>66.19</c:v>
              </c:pt>
              <c:pt idx="8">
                <c:v>14563.22</c:v>
              </c:pt>
              <c:pt idx="9">
                <c:v>6275.58</c:v>
              </c:pt>
              <c:pt idx="10">
                <c:v>3790.65</c:v>
              </c:pt>
              <c:pt idx="11">
                <c:v>700.51</c:v>
              </c:pt>
              <c:pt idx="12">
                <c:v>399.87</c:v>
              </c:pt>
              <c:pt idx="13">
                <c:v>1361.35</c:v>
              </c:pt>
              <c:pt idx="14">
                <c:v>6416.6299999999992</c:v>
              </c:pt>
              <c:pt idx="15">
                <c:v>14076.27</c:v>
              </c:pt>
              <c:pt idx="16">
                <c:v>10893.378999999999</c:v>
              </c:pt>
            </c:numLit>
          </c:val>
          <c:extLst>
            <c:ext xmlns:c16="http://schemas.microsoft.com/office/drawing/2014/chart" uri="{C3380CC4-5D6E-409C-BE32-E72D297353CC}">
              <c16:uniqueId val="{00000000-AA99-4A4B-839E-80DBB1D784D7}"/>
            </c:ext>
          </c:extLst>
        </c:ser>
        <c:ser>
          <c:idx val="1"/>
          <c:order val="1"/>
          <c:tx>
            <c:v>Sum of Q2</c:v>
          </c:tx>
          <c:spPr>
            <a:solidFill>
              <a:schemeClr val="accent2"/>
            </a:solidFill>
            <a:ln>
              <a:noFill/>
            </a:ln>
            <a:effectLst/>
          </c:spPr>
          <c:invertIfNegative val="0"/>
          <c:cat>
            <c:strLit>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Lit>
          </c:cat>
          <c:val>
            <c:numLit>
              <c:formatCode>General</c:formatCode>
              <c:ptCount val="17"/>
              <c:pt idx="0">
                <c:v>15926.699999999999</c:v>
              </c:pt>
              <c:pt idx="1">
                <c:v>4464.8099999999995</c:v>
              </c:pt>
              <c:pt idx="2">
                <c:v>1992.45</c:v>
              </c:pt>
              <c:pt idx="3">
                <c:v>30483.52</c:v>
              </c:pt>
              <c:pt idx="4">
                <c:v>16658.189999999999</c:v>
              </c:pt>
              <c:pt idx="5">
                <c:v>2249.0500000000002</c:v>
              </c:pt>
              <c:pt idx="6">
                <c:v>1036.6400000000001</c:v>
              </c:pt>
              <c:pt idx="7">
                <c:v>205.19</c:v>
              </c:pt>
              <c:pt idx="8">
                <c:v>20323.21</c:v>
              </c:pt>
              <c:pt idx="9">
                <c:v>31417.599999999999</c:v>
              </c:pt>
              <c:pt idx="10">
                <c:v>4686.49</c:v>
              </c:pt>
              <c:pt idx="11">
                <c:v>1217.1299999999999</c:v>
              </c:pt>
              <c:pt idx="12">
                <c:v>196.92000000000002</c:v>
              </c:pt>
              <c:pt idx="13">
                <c:v>325.97000000000003</c:v>
              </c:pt>
              <c:pt idx="14">
                <c:v>25196.440000000002</c:v>
              </c:pt>
              <c:pt idx="15">
                <c:v>3028.86</c:v>
              </c:pt>
              <c:pt idx="16">
                <c:v>33076.908499999998</c:v>
              </c:pt>
            </c:numLit>
          </c:val>
          <c:extLst>
            <c:ext xmlns:c16="http://schemas.microsoft.com/office/drawing/2014/chart" uri="{C3380CC4-5D6E-409C-BE32-E72D297353CC}">
              <c16:uniqueId val="{00000001-AA99-4A4B-839E-80DBB1D784D7}"/>
            </c:ext>
          </c:extLst>
        </c:ser>
        <c:ser>
          <c:idx val="2"/>
          <c:order val="2"/>
          <c:tx>
            <c:v>Sum of Q3</c:v>
          </c:tx>
          <c:spPr>
            <a:solidFill>
              <a:schemeClr val="accent3"/>
            </a:solidFill>
            <a:ln>
              <a:noFill/>
            </a:ln>
            <a:effectLst/>
          </c:spPr>
          <c:invertIfNegative val="0"/>
          <c:cat>
            <c:strLit>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Lit>
          </c:cat>
          <c:val>
            <c:numLit>
              <c:formatCode>General</c:formatCode>
              <c:ptCount val="17"/>
              <c:pt idx="0">
                <c:v>5650.54</c:v>
              </c:pt>
              <c:pt idx="1">
                <c:v>31240.100000000006</c:v>
              </c:pt>
              <c:pt idx="2">
                <c:v>1381.38</c:v>
              </c:pt>
              <c:pt idx="3">
                <c:v>14070.48</c:v>
              </c:pt>
              <c:pt idx="4">
                <c:v>3320.53</c:v>
              </c:pt>
              <c:pt idx="5">
                <c:v>0</c:v>
              </c:pt>
              <c:pt idx="6">
                <c:v>1049.1000000000001</c:v>
              </c:pt>
              <c:pt idx="7">
                <c:v>172.71</c:v>
              </c:pt>
              <c:pt idx="8">
                <c:v>9906.66</c:v>
              </c:pt>
              <c:pt idx="9">
                <c:v>28435.739999999998</c:v>
              </c:pt>
              <c:pt idx="10">
                <c:v>5476.64</c:v>
              </c:pt>
              <c:pt idx="11">
                <c:v>3388</c:v>
              </c:pt>
              <c:pt idx="12">
                <c:v>368.50999999999993</c:v>
              </c:pt>
              <c:pt idx="13">
                <c:v>548.93000000000006</c:v>
              </c:pt>
              <c:pt idx="14">
                <c:v>11573.560000000001</c:v>
              </c:pt>
              <c:pt idx="15">
                <c:v>17854.252</c:v>
              </c:pt>
              <c:pt idx="16">
                <c:v>25415.0255</c:v>
              </c:pt>
            </c:numLit>
          </c:val>
          <c:extLst>
            <c:ext xmlns:c16="http://schemas.microsoft.com/office/drawing/2014/chart" uri="{C3380CC4-5D6E-409C-BE32-E72D297353CC}">
              <c16:uniqueId val="{00000002-AA99-4A4B-839E-80DBB1D784D7}"/>
            </c:ext>
          </c:extLst>
        </c:ser>
        <c:ser>
          <c:idx val="3"/>
          <c:order val="3"/>
          <c:tx>
            <c:v>Sum of Q4</c:v>
          </c:tx>
          <c:spPr>
            <a:solidFill>
              <a:schemeClr val="accent4"/>
            </a:solidFill>
            <a:ln>
              <a:noFill/>
            </a:ln>
            <a:effectLst/>
          </c:spPr>
          <c:invertIfNegative val="0"/>
          <c:cat>
            <c:strLit>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Lit>
          </c:cat>
          <c:val>
            <c:numLit>
              <c:formatCode>General</c:formatCode>
              <c:ptCount val="17"/>
              <c:pt idx="0">
                <c:v>22312.530000000002</c:v>
              </c:pt>
              <c:pt idx="1">
                <c:v>9440.9200000000019</c:v>
              </c:pt>
              <c:pt idx="2">
                <c:v>5700.23</c:v>
              </c:pt>
              <c:pt idx="3">
                <c:v>27600.42</c:v>
              </c:pt>
              <c:pt idx="4">
                <c:v>8567.4599999999991</c:v>
              </c:pt>
              <c:pt idx="5">
                <c:v>14475.74</c:v>
              </c:pt>
              <c:pt idx="6">
                <c:v>96.93</c:v>
              </c:pt>
              <c:pt idx="7">
                <c:v>306.90999999999997</c:v>
              </c:pt>
              <c:pt idx="8">
                <c:v>16652.549999999996</c:v>
              </c:pt>
              <c:pt idx="9">
                <c:v>66397.87000000001</c:v>
              </c:pt>
              <c:pt idx="10">
                <c:v>10088.529999999999</c:v>
              </c:pt>
              <c:pt idx="11">
                <c:v>2722.91</c:v>
              </c:pt>
              <c:pt idx="12">
                <c:v>294.29000000000002</c:v>
              </c:pt>
              <c:pt idx="13">
                <c:v>262.77999999999997</c:v>
              </c:pt>
              <c:pt idx="14">
                <c:v>10610.140000000003</c:v>
              </c:pt>
              <c:pt idx="15">
                <c:v>21854.911999999997</c:v>
              </c:pt>
              <c:pt idx="16">
                <c:v>26527.106</c:v>
              </c:pt>
            </c:numLit>
          </c:val>
          <c:extLst>
            <c:ext xmlns:c16="http://schemas.microsoft.com/office/drawing/2014/chart" uri="{C3380CC4-5D6E-409C-BE32-E72D297353CC}">
              <c16:uniqueId val="{00000003-AA99-4A4B-839E-80DBB1D784D7}"/>
            </c:ext>
          </c:extLst>
        </c:ser>
        <c:ser>
          <c:idx val="4"/>
          <c:order val="4"/>
          <c:tx>
            <c:v>Sum of Total</c:v>
          </c:tx>
          <c:spPr>
            <a:solidFill>
              <a:schemeClr val="accent5"/>
            </a:solidFill>
            <a:ln>
              <a:noFill/>
            </a:ln>
            <a:effectLst/>
          </c:spPr>
          <c:invertIfNegative val="0"/>
          <c:cat>
            <c:strLit>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Lit>
          </c:cat>
          <c:val>
            <c:numLit>
              <c:formatCode>General</c:formatCode>
              <c:ptCount val="17"/>
              <c:pt idx="0">
                <c:v>43987.7</c:v>
              </c:pt>
              <c:pt idx="1">
                <c:v>64658.600000000006</c:v>
              </c:pt>
              <c:pt idx="2">
                <c:v>14187.55</c:v>
              </c:pt>
              <c:pt idx="3">
                <c:v>93908.800000000003</c:v>
              </c:pt>
              <c:pt idx="4">
                <c:v>39655.699999999997</c:v>
              </c:pt>
              <c:pt idx="5">
                <c:v>16724.79</c:v>
              </c:pt>
              <c:pt idx="6">
                <c:v>3127.7400000000002</c:v>
              </c:pt>
              <c:pt idx="7">
                <c:v>751</c:v>
              </c:pt>
              <c:pt idx="8">
                <c:v>61445.639999999992</c:v>
              </c:pt>
              <c:pt idx="9">
                <c:v>132526.79</c:v>
              </c:pt>
              <c:pt idx="10">
                <c:v>24042.309999999998</c:v>
              </c:pt>
              <c:pt idx="11">
                <c:v>8028.5499999999993</c:v>
              </c:pt>
              <c:pt idx="12">
                <c:v>1259.5899999999999</c:v>
              </c:pt>
              <c:pt idx="13">
                <c:v>2499.0299999999997</c:v>
              </c:pt>
              <c:pt idx="14">
                <c:v>53796.770000000004</c:v>
              </c:pt>
              <c:pt idx="15">
                <c:v>56814.293999999994</c:v>
              </c:pt>
              <c:pt idx="16">
                <c:v>95912.418999999994</c:v>
              </c:pt>
            </c:numLit>
          </c:val>
          <c:extLst>
            <c:ext xmlns:c16="http://schemas.microsoft.com/office/drawing/2014/chart" uri="{C3380CC4-5D6E-409C-BE32-E72D297353CC}">
              <c16:uniqueId val="{00000004-AA99-4A4B-839E-80DBB1D784D7}"/>
            </c:ext>
          </c:extLst>
        </c:ser>
        <c:dLbls>
          <c:showLegendKey val="0"/>
          <c:showVal val="0"/>
          <c:showCatName val="0"/>
          <c:showSerName val="0"/>
          <c:showPercent val="0"/>
          <c:showBubbleSize val="0"/>
        </c:dLbls>
        <c:gapWidth val="150"/>
        <c:overlap val="100"/>
        <c:axId val="1576687056"/>
        <c:axId val="1576684656"/>
      </c:barChart>
      <c:catAx>
        <c:axId val="157668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84656"/>
        <c:crosses val="autoZero"/>
        <c:auto val="1"/>
        <c:lblAlgn val="ctr"/>
        <c:lblOffset val="100"/>
        <c:noMultiLvlLbl val="0"/>
      </c:catAx>
      <c:valAx>
        <c:axId val="157668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Office Supply Company Quarterly Product Sales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16B-4855-BBC8-71B05AB5A8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316B-4855-BBC8-71B05AB5A8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316B-4855-BBC8-71B05AB5A8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316B-4855-BBC8-71B05AB5A8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F-316B-4855-BBC8-71B05AB5A8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E-316B-4855-BBC8-71B05AB5A8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16B-4855-BBC8-71B05AB5A8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C-316B-4855-BBC8-71B05AB5A8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B-316B-4855-BBC8-71B05AB5A8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316B-4855-BBC8-71B05AB5A8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316B-4855-BBC8-71B05AB5A88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8-316B-4855-BBC8-71B05AB5A88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7-316B-4855-BBC8-71B05AB5A88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6-316B-4855-BBC8-71B05AB5A88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5-316B-4855-BBC8-71B05AB5A88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4-316B-4855-BBC8-71B05AB5A88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3-316B-4855-BBC8-71B05AB5A88C}"/>
              </c:ext>
            </c:extLst>
          </c:dPt>
          <c:dLbls>
            <c:dLbl>
              <c:idx val="0"/>
              <c:tx>
                <c:rich>
                  <a:bodyPr/>
                  <a:lstStyle/>
                  <a:p>
                    <a:fld id="{04DB4F5F-7D75-478D-8BEC-47410F201489}"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16B-4855-BBC8-71B05AB5A88C}"/>
                </c:ext>
              </c:extLst>
            </c:dLbl>
            <c:dLbl>
              <c:idx val="1"/>
              <c:tx>
                <c:rich>
                  <a:bodyPr/>
                  <a:lstStyle/>
                  <a:p>
                    <a:fld id="{491811FE-A160-440E-A2D1-79A53C8A8328}"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316B-4855-BBC8-71B05AB5A88C}"/>
                </c:ext>
              </c:extLst>
            </c:dLbl>
            <c:dLbl>
              <c:idx val="2"/>
              <c:tx>
                <c:rich>
                  <a:bodyPr/>
                  <a:lstStyle/>
                  <a:p>
                    <a:fld id="{5129BFC6-C048-4F88-82E2-961AF74314DB}"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16B-4855-BBC8-71B05AB5A88C}"/>
                </c:ext>
              </c:extLst>
            </c:dLbl>
            <c:dLbl>
              <c:idx val="3"/>
              <c:tx>
                <c:rich>
                  <a:bodyPr/>
                  <a:lstStyle/>
                  <a:p>
                    <a:fld id="{D164FAFA-701B-417B-AB1E-EBEFAA777B09}"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316B-4855-BBC8-71B05AB5A88C}"/>
                </c:ext>
              </c:extLst>
            </c:dLbl>
            <c:dLbl>
              <c:idx val="4"/>
              <c:tx>
                <c:rich>
                  <a:bodyPr/>
                  <a:lstStyle/>
                  <a:p>
                    <a:fld id="{8CE79581-4736-47C9-AE7F-88A74FAD1048}"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316B-4855-BBC8-71B05AB5A88C}"/>
                </c:ext>
              </c:extLst>
            </c:dLbl>
            <c:dLbl>
              <c:idx val="5"/>
              <c:tx>
                <c:rich>
                  <a:bodyPr/>
                  <a:lstStyle/>
                  <a:p>
                    <a:fld id="{01F054E1-C587-43C5-ADEC-E8ED5F42B2A1}"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316B-4855-BBC8-71B05AB5A88C}"/>
                </c:ext>
              </c:extLst>
            </c:dLbl>
            <c:dLbl>
              <c:idx val="6"/>
              <c:tx>
                <c:rich>
                  <a:bodyPr/>
                  <a:lstStyle/>
                  <a:p>
                    <a:fld id="{BCDBBF6E-4DC4-4152-A6D3-A2B1AA95D32B}"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316B-4855-BBC8-71B05AB5A88C}"/>
                </c:ext>
              </c:extLst>
            </c:dLbl>
            <c:dLbl>
              <c:idx val="7"/>
              <c:tx>
                <c:rich>
                  <a:bodyPr/>
                  <a:lstStyle/>
                  <a:p>
                    <a:fld id="{8E877D9D-B5C0-42AF-A549-4A01B24D6040}"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316B-4855-BBC8-71B05AB5A88C}"/>
                </c:ext>
              </c:extLst>
            </c:dLbl>
            <c:dLbl>
              <c:idx val="8"/>
              <c:tx>
                <c:rich>
                  <a:bodyPr/>
                  <a:lstStyle/>
                  <a:p>
                    <a:fld id="{C46B5134-BC25-4DE4-BF1F-956A3C0BE096}"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316B-4855-BBC8-71B05AB5A88C}"/>
                </c:ext>
              </c:extLst>
            </c:dLbl>
            <c:dLbl>
              <c:idx val="9"/>
              <c:tx>
                <c:rich>
                  <a:bodyPr/>
                  <a:lstStyle/>
                  <a:p>
                    <a:fld id="{9494C0C1-3348-4433-8B7B-4259E0BD1433}"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316B-4855-BBC8-71B05AB5A88C}"/>
                </c:ext>
              </c:extLst>
            </c:dLbl>
            <c:dLbl>
              <c:idx val="10"/>
              <c:tx>
                <c:rich>
                  <a:bodyPr/>
                  <a:lstStyle/>
                  <a:p>
                    <a:fld id="{CC89913A-2A5E-4983-8AAE-ED92D783B8AC}"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16B-4855-BBC8-71B05AB5A88C}"/>
                </c:ext>
              </c:extLst>
            </c:dLbl>
            <c:dLbl>
              <c:idx val="11"/>
              <c:tx>
                <c:rich>
                  <a:bodyPr/>
                  <a:lstStyle/>
                  <a:p>
                    <a:fld id="{C95741AE-8B07-4BE9-BA74-6BABE3A50705}"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316B-4855-BBC8-71B05AB5A88C}"/>
                </c:ext>
              </c:extLst>
            </c:dLbl>
            <c:dLbl>
              <c:idx val="12"/>
              <c:tx>
                <c:rich>
                  <a:bodyPr/>
                  <a:lstStyle/>
                  <a:p>
                    <a:fld id="{D43E5A42-F772-4CE4-AE45-356BC1CDDAF3}"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16B-4855-BBC8-71B05AB5A88C}"/>
                </c:ext>
              </c:extLst>
            </c:dLbl>
            <c:dLbl>
              <c:idx val="13"/>
              <c:tx>
                <c:rich>
                  <a:bodyPr/>
                  <a:lstStyle/>
                  <a:p>
                    <a:fld id="{EEC06E73-052D-41E7-A9E7-CEDF3DD388C9}"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16B-4855-BBC8-71B05AB5A88C}"/>
                </c:ext>
              </c:extLst>
            </c:dLbl>
            <c:dLbl>
              <c:idx val="14"/>
              <c:tx>
                <c:rich>
                  <a:bodyPr/>
                  <a:lstStyle/>
                  <a:p>
                    <a:fld id="{D063BD25-3602-4D04-8AF7-8200A5C64933}"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16B-4855-BBC8-71B05AB5A88C}"/>
                </c:ext>
              </c:extLst>
            </c:dLbl>
            <c:dLbl>
              <c:idx val="15"/>
              <c:tx>
                <c:rich>
                  <a:bodyPr/>
                  <a:lstStyle/>
                  <a:p>
                    <a:fld id="{F4563B09-AF6B-4603-ABE4-F99F4A5272A2}"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16B-4855-BBC8-71B05AB5A88C}"/>
                </c:ext>
              </c:extLst>
            </c:dLbl>
            <c:dLbl>
              <c:idx val="16"/>
              <c:tx>
                <c:rich>
                  <a:bodyPr/>
                  <a:lstStyle/>
                  <a:p>
                    <a:fld id="{7A81F8AE-D305-4645-9A95-A31802ABB32A}" type="PERCENTAGE">
                      <a:rPr lang="en-US"/>
                      <a:pPr/>
                      <a:t>[PERCENTAGE]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6B-4855-BBC8-71B05AB5A88C}"/>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'Q2 - 2018 vs 2019'!$A$3:$A$19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'Q2 - 2018 vs 2019'!$C$3:$C$19</c:f>
              <c:numCache>
                <c:formatCode>_("$"* #,##0.00_);_("$"* \(#,##0.00\);_("$"* "-"??_);_(@_)</c:formatCode>
                <c:ptCount val="17"/>
                <c:pt idx="0">
                  <c:v>43987.7</c:v>
                </c:pt>
                <c:pt idx="1">
                  <c:v>64658.600000000006</c:v>
                </c:pt>
                <c:pt idx="2">
                  <c:v>14187.55</c:v>
                </c:pt>
                <c:pt idx="3">
                  <c:v>93908.800000000003</c:v>
                </c:pt>
                <c:pt idx="4">
                  <c:v>39655.699999999997</c:v>
                </c:pt>
                <c:pt idx="5">
                  <c:v>16724.79</c:v>
                </c:pt>
                <c:pt idx="6">
                  <c:v>3127.7400000000002</c:v>
                </c:pt>
                <c:pt idx="7">
                  <c:v>751</c:v>
                </c:pt>
                <c:pt idx="8">
                  <c:v>61445.639999999992</c:v>
                </c:pt>
                <c:pt idx="9">
                  <c:v>132526.79</c:v>
                </c:pt>
                <c:pt idx="10">
                  <c:v>24042.309999999998</c:v>
                </c:pt>
                <c:pt idx="11">
                  <c:v>8028.5499999999993</c:v>
                </c:pt>
                <c:pt idx="12">
                  <c:v>1259.5899999999999</c:v>
                </c:pt>
                <c:pt idx="13">
                  <c:v>2499.0299999999997</c:v>
                </c:pt>
                <c:pt idx="14">
                  <c:v>53796.770000000004</c:v>
                </c:pt>
                <c:pt idx="15">
                  <c:v>56814.293999999994</c:v>
                </c:pt>
                <c:pt idx="16">
                  <c:v>95912.418999999994</c:v>
                </c:pt>
              </c:numCache>
            </c:numRef>
          </c:val>
          <c:extLst>
            <c:ext xmlns:c16="http://schemas.microsoft.com/office/drawing/2014/chart" uri="{C3380CC4-5D6E-409C-BE32-E72D297353CC}">
              <c16:uniqueId val="{00000000-316B-4855-BBC8-71B05AB5A8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sold of each product category in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'Q3 - Quantity Sold'!$B$2</c:f>
              <c:strCache>
                <c:ptCount val="1"/>
                <c:pt idx="0">
                  <c:v>Year 2019</c:v>
                </c:pt>
              </c:strCache>
            </c:strRef>
          </c:tx>
          <c:spPr>
            <a:solidFill>
              <a:schemeClr val="accent1"/>
            </a:solidFill>
            <a:ln>
              <a:noFill/>
            </a:ln>
            <a:effectLst/>
          </c:spPr>
          <c:invertIfNegative val="0"/>
          <c:cat>
            <c:strRef>
              <c:f>'Q3 - Quantity Sold'!$A$3:$A$5</c:f>
              <c:strCache>
                <c:ptCount val="3"/>
                <c:pt idx="0">
                  <c:v>FURNITURE</c:v>
                </c:pt>
                <c:pt idx="1">
                  <c:v>OFFICE SUPPLIES</c:v>
                </c:pt>
                <c:pt idx="2">
                  <c:v>TECHNOLOGY</c:v>
                </c:pt>
              </c:strCache>
            </c:strRef>
          </c:cat>
          <c:val>
            <c:numRef>
              <c:f>'Q3 - Quantity Sold'!$B$3:$B$5</c:f>
              <c:numCache>
                <c:formatCode>General</c:formatCode>
                <c:ptCount val="3"/>
                <c:pt idx="0">
                  <c:v>2438</c:v>
                </c:pt>
                <c:pt idx="1">
                  <c:v>6824</c:v>
                </c:pt>
                <c:pt idx="2">
                  <c:v>3075</c:v>
                </c:pt>
              </c:numCache>
            </c:numRef>
          </c:val>
          <c:extLst>
            <c:ext xmlns:c16="http://schemas.microsoft.com/office/drawing/2014/chart" uri="{C3380CC4-5D6E-409C-BE32-E72D297353CC}">
              <c16:uniqueId val="{00000000-3B1D-4669-864C-0EEA16D08A31}"/>
            </c:ext>
          </c:extLst>
        </c:ser>
        <c:dLbls>
          <c:showLegendKey val="0"/>
          <c:showVal val="0"/>
          <c:showCatName val="0"/>
          <c:showSerName val="0"/>
          <c:showPercent val="0"/>
          <c:showBubbleSize val="0"/>
        </c:dLbls>
        <c:gapWidth val="219"/>
        <c:overlap val="-27"/>
        <c:axId val="106795792"/>
        <c:axId val="106792432"/>
      </c:barChart>
      <c:catAx>
        <c:axId val="1067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92432"/>
        <c:crosses val="autoZero"/>
        <c:auto val="1"/>
        <c:lblAlgn val="ctr"/>
        <c:lblOffset val="100"/>
        <c:noMultiLvlLbl val="0"/>
      </c:catAx>
      <c:valAx>
        <c:axId val="10679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95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[501 MTatipamula Excel Assignment.xlsx]Q6 - Qtr. Profit!PivotTable27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of product</a:t>
            </a:r>
            <a:r>
              <a:rPr lang="en-US" baseline="0"/>
              <a:t> categories by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'Q6 - Qtr. Profit'!$B$3:$B$6</c:f>
              <c:strCache>
                <c:ptCount val="1"/>
                <c:pt idx="0">
                  <c:v>Quarter 1</c:v>
                </c:pt>
              </c:strCache>
            </c:strRef>
          </c:tx>
          <c:spPr>
            <a:solidFill>
              <a:schemeClr val="accent1"/>
            </a:solidFill>
            <a:ln>
              <a:noFill/>
            </a:ln>
            <a:effectLst/>
          </c:spPr>
          <c:invertIfNegative val="0"/>
          <c:cat>
            <c:strRef>
              <c:f>'Q6 - Qtr. Profit'!$A$7:$A$10</c:f>
              <c:strCache>
                <c:ptCount val="3"/>
                <c:pt idx="0">
                  <c:v>FURNITURE</c:v>
                </c:pt>
                <c:pt idx="1">
                  <c:v>OFFICE SUPPLIES</c:v>
                </c:pt>
                <c:pt idx="2">
                  <c:v>TECHNOLOGY</c:v>
                </c:pt>
              </c:strCache>
            </c:strRef>
          </c:cat>
          <c:val>
            <c:numRef>
              <c:f>'Q6 - Qtr. Profit'!$B$7:$B$10</c:f>
              <c:numCache>
                <c:formatCode>_("$"* #,##0.00_);_("$"* \(#,##0.00\);_("$"* "-"??_);_(@_)</c:formatCode>
                <c:ptCount val="3"/>
                <c:pt idx="0">
                  <c:v>2053.0299999999997</c:v>
                </c:pt>
                <c:pt idx="1">
                  <c:v>2383.2800000000016</c:v>
                </c:pt>
                <c:pt idx="2">
                  <c:v>2138.9499999999998</c:v>
                </c:pt>
              </c:numCache>
            </c:numRef>
          </c:val>
          <c:extLst>
            <c:ext xmlns:c16="http://schemas.microsoft.com/office/drawing/2014/chart" uri="{C3380CC4-5D6E-409C-BE32-E72D297353CC}">
              <c16:uniqueId val="{00000000-BDD0-42F3-905B-965DDE953F3F}"/>
            </c:ext>
          </c:extLst>
        </c:ser>
        <c:ser>
          <c:idx val="1"/>
          <c:order val="1"/>
          <c:tx>
            <c:strRef>
              <c:f>'Q6 - Qtr. Profit'!$C$3:$C$6</c:f>
              <c:strCache>
                <c:ptCount val="1"/>
                <c:pt idx="0">
                  <c:v>Quarter 2</c:v>
                </c:pt>
              </c:strCache>
            </c:strRef>
          </c:tx>
          <c:spPr>
            <a:solidFill>
              <a:schemeClr val="accent2"/>
            </a:solidFill>
            <a:ln>
              <a:noFill/>
            </a:ln>
            <a:effectLst/>
          </c:spPr>
          <c:invertIfNegative val="0"/>
          <c:cat>
            <c:strRef>
              <c:f>'Q6 - Qtr. Profit'!$A$7:$A$10</c:f>
              <c:strCache>
                <c:ptCount val="3"/>
                <c:pt idx="0">
                  <c:v>FURNITURE</c:v>
                </c:pt>
                <c:pt idx="1">
                  <c:v>OFFICE SUPPLIES</c:v>
                </c:pt>
                <c:pt idx="2">
                  <c:v>TECHNOLOGY</c:v>
                </c:pt>
              </c:strCache>
            </c:strRef>
          </c:cat>
          <c:val>
            <c:numRef>
              <c:f>'Q6 - Qtr. Profit'!$C$7:$C$10</c:f>
              <c:numCache>
                <c:formatCode>_("$"* #,##0.00_);_("$"* \(#,##0.00\);_("$"* "-"??_);_(@_)</c:formatCode>
                <c:ptCount val="3"/>
                <c:pt idx="0">
                  <c:v>-237.5100000000001</c:v>
                </c:pt>
                <c:pt idx="1">
                  <c:v>2824</c:v>
                </c:pt>
                <c:pt idx="2">
                  <c:v>16377.49</c:v>
                </c:pt>
              </c:numCache>
            </c:numRef>
          </c:val>
          <c:extLst>
            <c:ext xmlns:c16="http://schemas.microsoft.com/office/drawing/2014/chart" uri="{C3380CC4-5D6E-409C-BE32-E72D297353CC}">
              <c16:uniqueId val="{00000001-BDD0-42F3-905B-965DDE953F3F}"/>
            </c:ext>
          </c:extLst>
        </c:ser>
        <c:ser>
          <c:idx val="2"/>
          <c:order val="2"/>
          <c:tx>
            <c:strRef>
              <c:f>'Q6 - Qtr. Profit'!$D$3:$D$6</c:f>
              <c:strCache>
                <c:ptCount val="1"/>
                <c:pt idx="0">
                  <c:v>Quarter 3</c:v>
                </c:pt>
              </c:strCache>
            </c:strRef>
          </c:tx>
          <c:spPr>
            <a:solidFill>
              <a:schemeClr val="accent3"/>
            </a:solidFill>
            <a:ln>
              <a:noFill/>
            </a:ln>
            <a:effectLst/>
          </c:spPr>
          <c:invertIfNegative val="0"/>
          <c:cat>
            <c:strRef>
              <c:f>'Q6 - Qtr. Profit'!$A$7:$A$10</c:f>
              <c:strCache>
                <c:ptCount val="3"/>
                <c:pt idx="0">
                  <c:v>FURNITURE</c:v>
                </c:pt>
                <c:pt idx="1">
                  <c:v>OFFICE SUPPLIES</c:v>
                </c:pt>
                <c:pt idx="2">
                  <c:v>TECHNOLOGY</c:v>
                </c:pt>
              </c:strCache>
            </c:strRef>
          </c:cat>
          <c:val>
            <c:numRef>
              <c:f>'Q6 - Qtr. Profit'!$D$7:$D$10</c:f>
              <c:numCache>
                <c:formatCode>_("$"* #,##0.00_);_("$"* \(#,##0.00\);_("$"* "-"??_);_(@_)</c:formatCode>
                <c:ptCount val="3"/>
                <c:pt idx="0">
                  <c:v>2059.04</c:v>
                </c:pt>
                <c:pt idx="1">
                  <c:v>10680.06</c:v>
                </c:pt>
                <c:pt idx="2">
                  <c:v>13900.079999999998</c:v>
                </c:pt>
              </c:numCache>
            </c:numRef>
          </c:val>
          <c:extLst>
            <c:ext xmlns:c16="http://schemas.microsoft.com/office/drawing/2014/chart" uri="{C3380CC4-5D6E-409C-BE32-E72D297353CC}">
              <c16:uniqueId val="{00000002-BDD0-42F3-905B-965DDE953F3F}"/>
            </c:ext>
          </c:extLst>
        </c:ser>
        <c:ser>
          <c:idx val="3"/>
          <c:order val="3"/>
          <c:tx>
            <c:strRef>
              <c:f>'Q6 - Qtr. Profit'!$E$3:$E$6</c:f>
              <c:strCache>
                <c:ptCount val="1"/>
                <c:pt idx="0">
                  <c:v>Quarter 4</c:v>
                </c:pt>
              </c:strCache>
            </c:strRef>
          </c:tx>
          <c:spPr>
            <a:solidFill>
              <a:schemeClr val="accent4"/>
            </a:solidFill>
            <a:ln>
              <a:noFill/>
            </a:ln>
            <a:effectLst/>
          </c:spPr>
          <c:invertIfNegative val="0"/>
          <c:cat>
            <c:strRef>
              <c:f>'Q6 - Qtr. Profit'!$A$7:$A$10</c:f>
              <c:strCache>
                <c:ptCount val="3"/>
                <c:pt idx="0">
                  <c:v>FURNITURE</c:v>
                </c:pt>
                <c:pt idx="1">
                  <c:v>OFFICE SUPPLIES</c:v>
                </c:pt>
                <c:pt idx="2">
                  <c:v>TECHNOLOGY</c:v>
                </c:pt>
              </c:strCache>
            </c:strRef>
          </c:cat>
          <c:val>
            <c:numRef>
              <c:f>'Q6 - Qtr. Profit'!$E$7:$E$10</c:f>
              <c:numCache>
                <c:formatCode>_("$"* #,##0.00_);_("$"* \(#,##0.00\);_("$"* "-"??_);_(@_)</c:formatCode>
                <c:ptCount val="3"/>
                <c:pt idx="0">
                  <c:v>2366.9599999999996</c:v>
                </c:pt>
                <c:pt idx="1">
                  <c:v>2394.2400000000007</c:v>
                </c:pt>
                <c:pt idx="2">
                  <c:v>20873.620000000003</c:v>
                </c:pt>
              </c:numCache>
            </c:numRef>
          </c:val>
          <c:extLst>
            <c:ext xmlns:c16="http://schemas.microsoft.com/office/drawing/2014/chart" uri="{C3380CC4-5D6E-409C-BE32-E72D297353CC}">
              <c16:uniqueId val="{00000003-BDD0-42F3-905B-965DDE953F3F}"/>
            </c:ext>
          </c:extLst>
        </c:ser>
        <c:dLbls>
          <c:showLegendKey val="0"/>
          <c:showVal val="0"/>
          <c:showCatName val="0"/>
          <c:showSerName val="0"/>
          <c:showPercent val="0"/>
          <c:showBubbleSize val="0"/>
        </c:dLbls>
        <c:gapWidth val="219"/>
        <c:overlap val="-27"/>
        <c:axId val="1577024480"/>
        <c:axId val="1577024960"/>
      </c:barChart>
      <c:catAx>
        <c:axId val="15770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24960"/>
        <c:crosses val="autoZero"/>
        <c:auto val="1"/>
        <c:lblAlgn val="ctr"/>
        <c:lblOffset val="100"/>
        <c:noMultiLvlLbl val="0"/>
      </c:catAx>
      <c:valAx>
        <c:axId val="15770249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[501 MTatipamula Excel Assignment.xlsx]Q6 - Qtr. Profit!PivotTable27</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'Q6 - Qtr. Profit'!$B$3:$B$6</c:f>
              <c:strCache>
                <c:ptCount val="1"/>
                <c:pt idx="0">
                  <c:v>Quarter 1</c:v>
                </c:pt>
              </c:strCache>
            </c:strRef>
          </c:tx>
          <c:spPr>
            <a:ln w="28575" cap="rnd">
              <a:solidFill>
                <a:schemeClr val="accent1"/>
              </a:solidFill>
              <a:round/>
            </a:ln>
            <a:effectLst/>
          </c:spPr>
          <c:marker>
            <c:symbol val="none"/>
          </c:marker>
          <c:cat>
            <c:strRef>
              <c:f>'Q6 - Qtr. Profit'!$A$7:$A$10</c:f>
              <c:strCache>
                <c:ptCount val="3"/>
                <c:pt idx="0">
                  <c:v>FURNITURE</c:v>
                </c:pt>
                <c:pt idx="1">
                  <c:v>OFFICE SUPPLIES</c:v>
                </c:pt>
                <c:pt idx="2">
                  <c:v>TECHNOLOGY</c:v>
                </c:pt>
              </c:strCache>
            </c:strRef>
          </c:cat>
          <c:val>
            <c:numRef>
              <c:f>'Q6 - Qtr. Profit'!$B$7:$B$10</c:f>
              <c:numCache>
                <c:formatCode>_("$"* #,##0.00_);_("$"* \(#,##0.00\);_("$"* "-"??_);_(@_)</c:formatCode>
                <c:ptCount val="3"/>
                <c:pt idx="0">
                  <c:v>2053.0299999999997</c:v>
                </c:pt>
                <c:pt idx="1">
                  <c:v>2383.2800000000016</c:v>
                </c:pt>
                <c:pt idx="2">
                  <c:v>2138.9499999999998</c:v>
                </c:pt>
              </c:numCache>
            </c:numRef>
          </c:val>
          <c:smooth val="0"/>
          <c:extLst>
            <c:ext xmlns:c16="http://schemas.microsoft.com/office/drawing/2014/chart" uri="{C3380CC4-5D6E-409C-BE32-E72D297353CC}">
              <c16:uniqueId val="{00000000-BE04-47EE-BFE1-537851C5AFF3}"/>
            </c:ext>
          </c:extLst>
        </c:ser>
        <c:ser>
          <c:idx val="1"/>
          <c:order val="1"/>
          <c:tx>
            <c:strRef>
              <c:f>'Q6 - Qtr. Profit'!$C$3:$C$6</c:f>
              <c:strCache>
                <c:ptCount val="1"/>
                <c:pt idx="0">
                  <c:v>Quarter 2</c:v>
                </c:pt>
              </c:strCache>
            </c:strRef>
          </c:tx>
          <c:spPr>
            <a:ln w="28575" cap="rnd">
              <a:solidFill>
                <a:schemeClr val="accent2"/>
              </a:solidFill>
              <a:round/>
            </a:ln>
            <a:effectLst/>
          </c:spPr>
          <c:marker>
            <c:symbol val="none"/>
          </c:marker>
          <c:cat>
            <c:strRef>
              <c:f>'Q6 - Qtr. Profit'!$A$7:$A$10</c:f>
              <c:strCache>
                <c:ptCount val="3"/>
                <c:pt idx="0">
                  <c:v>FURNITURE</c:v>
                </c:pt>
                <c:pt idx="1">
                  <c:v>OFFICE SUPPLIES</c:v>
                </c:pt>
                <c:pt idx="2">
                  <c:v>TECHNOLOGY</c:v>
                </c:pt>
              </c:strCache>
            </c:strRef>
          </c:cat>
          <c:val>
            <c:numRef>
              <c:f>'Q6 - Qtr. Profit'!$C$7:$C$10</c:f>
              <c:numCache>
                <c:formatCode>_("$"* #,##0.00_);_("$"* \(#,##0.00\);_("$"* "-"??_);_(@_)</c:formatCode>
                <c:ptCount val="3"/>
                <c:pt idx="0">
                  <c:v>-237.5100000000001</c:v>
                </c:pt>
                <c:pt idx="1">
                  <c:v>2824</c:v>
                </c:pt>
                <c:pt idx="2">
                  <c:v>16377.49</c:v>
                </c:pt>
              </c:numCache>
            </c:numRef>
          </c:val>
          <c:smooth val="0"/>
          <c:extLst>
            <c:ext xmlns:c16="http://schemas.microsoft.com/office/drawing/2014/chart" uri="{C3380CC4-5D6E-409C-BE32-E72D297353CC}">
              <c16:uniqueId val="{00000001-BE04-47EE-BFE1-537851C5AFF3}"/>
            </c:ext>
          </c:extLst>
        </c:ser>
        <c:ser>
          <c:idx val="2"/>
          <c:order val="2"/>
          <c:tx>
            <c:strRef>
              <c:f>'Q6 - Qtr. Profit'!$D$3:$D$6</c:f>
              <c:strCache>
                <c:ptCount val="1"/>
                <c:pt idx="0">
                  <c:v>Quarter 3</c:v>
                </c:pt>
              </c:strCache>
            </c:strRef>
          </c:tx>
          <c:spPr>
            <a:ln w="28575" cap="rnd">
              <a:solidFill>
                <a:schemeClr val="accent3"/>
              </a:solidFill>
              <a:round/>
            </a:ln>
            <a:effectLst/>
          </c:spPr>
          <c:marker>
            <c:symbol val="none"/>
          </c:marker>
          <c:cat>
            <c:strRef>
              <c:f>'Q6 - Qtr. Profit'!$A$7:$A$10</c:f>
              <c:strCache>
                <c:ptCount val="3"/>
                <c:pt idx="0">
                  <c:v>FURNITURE</c:v>
                </c:pt>
                <c:pt idx="1">
                  <c:v>OFFICE SUPPLIES</c:v>
                </c:pt>
                <c:pt idx="2">
                  <c:v>TECHNOLOGY</c:v>
                </c:pt>
              </c:strCache>
            </c:strRef>
          </c:cat>
          <c:val>
            <c:numRef>
              <c:f>'Q6 - Qtr. Profit'!$D$7:$D$10</c:f>
              <c:numCache>
                <c:formatCode>_("$"* #,##0.00_);_("$"* \(#,##0.00\);_("$"* "-"??_);_(@_)</c:formatCode>
                <c:ptCount val="3"/>
                <c:pt idx="0">
                  <c:v>2059.04</c:v>
                </c:pt>
                <c:pt idx="1">
                  <c:v>10680.06</c:v>
                </c:pt>
                <c:pt idx="2">
                  <c:v>13900.079999999998</c:v>
                </c:pt>
              </c:numCache>
            </c:numRef>
          </c:val>
          <c:smooth val="0"/>
          <c:extLst>
            <c:ext xmlns:c16="http://schemas.microsoft.com/office/drawing/2014/chart" uri="{C3380CC4-5D6E-409C-BE32-E72D297353CC}">
              <c16:uniqueId val="{00000002-BE04-47EE-BFE1-537851C5AFF3}"/>
            </c:ext>
          </c:extLst>
        </c:ser>
        <c:ser>
          <c:idx val="3"/>
          <c:order val="3"/>
          <c:tx>
            <c:strRef>
              <c:f>'Q6 - Qtr. Profit'!$E$3:$E$6</c:f>
              <c:strCache>
                <c:ptCount val="1"/>
                <c:pt idx="0">
                  <c:v>Quarter 4</c:v>
                </c:pt>
              </c:strCache>
            </c:strRef>
          </c:tx>
          <c:spPr>
            <a:ln w="28575" cap="rnd">
              <a:solidFill>
                <a:schemeClr val="accent4"/>
              </a:solidFill>
              <a:round/>
            </a:ln>
            <a:effectLst/>
          </c:spPr>
          <c:marker>
            <c:symbol val="none"/>
          </c:marker>
          <c:cat>
            <c:strRef>
              <c:f>'Q6 - Qtr. Profit'!$A$7:$A$10</c:f>
              <c:strCache>
                <c:ptCount val="3"/>
                <c:pt idx="0">
                  <c:v>FURNITURE</c:v>
                </c:pt>
                <c:pt idx="1">
                  <c:v>OFFICE SUPPLIES</c:v>
                </c:pt>
                <c:pt idx="2">
                  <c:v>TECHNOLOGY</c:v>
                </c:pt>
              </c:strCache>
            </c:strRef>
          </c:cat>
          <c:val>
            <c:numRef>
              <c:f>'Q6 - Qtr. Profit'!$E$7:$E$10</c:f>
              <c:numCache>
                <c:formatCode>_("$"* #,##0.00_);_("$"* \(#,##0.00\);_("$"* "-"??_);_(@_)</c:formatCode>
                <c:ptCount val="3"/>
                <c:pt idx="0">
                  <c:v>2366.9599999999996</c:v>
                </c:pt>
                <c:pt idx="1">
                  <c:v>2394.2400000000007</c:v>
                </c:pt>
                <c:pt idx="2">
                  <c:v>20873.620000000003</c:v>
                </c:pt>
              </c:numCache>
            </c:numRef>
          </c:val>
          <c:smooth val="0"/>
          <c:extLst>
            <c:ext xmlns:c16="http://schemas.microsoft.com/office/drawing/2014/chart" uri="{C3380CC4-5D6E-409C-BE32-E72D297353CC}">
              <c16:uniqueId val="{00000003-BE04-47EE-BFE1-537851C5AFF3}"/>
            </c:ext>
          </c:extLst>
        </c:ser>
        <c:dLbls>
          <c:showLegendKey val="0"/>
          <c:showVal val="0"/>
          <c:showCatName val="0"/>
          <c:showSerName val="0"/>
          <c:showPercent val="0"/>
          <c:showBubbleSize val="0"/>
        </c:dLbls>
        <c:smooth val="0"/>
        <c:axId val="354121248"/>
        <c:axId val="354134688"/>
      </c:lineChart>
      <c:catAx>
        <c:axId val="3541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134688"/>
        <c:crosses val="autoZero"/>
        <c:auto val="1"/>
        <c:lblAlgn val="ctr"/>
        <c:lblOffset val="100"/>
        <c:noMultiLvlLbl val="0"/>
      </c:catAx>
      <c:valAx>
        <c:axId val="354134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12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295275</xdr:colOff>
      <xdr:row>2</xdr:row>
      <xdr:rowOff>85725</xdr:rowOff>
    </xdr:from>
    <xdr:to>
      <xdr:col>27</xdr:col>
      <xdr:colOff>152400</xdr:colOff>
      <xdr:row>49</xdr:row>
      <xdr:rowOff>142875</xdr:rowOff>
    </xdr:to>
    <xdr:graphicFrame macro="">
      <xdr:nvGraphicFramePr>
        <xdr:cNvPr id="7" name="Chart 6">
          <a:extLst>
            <a:ext uri="{FF2B5EF4-FFF2-40B4-BE49-F238E27FC236}">
              <a16:creationId xmlns:a16="http://schemas.microsoft.com/office/drawing/2014/main" id="{ADAD07B3-AA29-4E5C-BCDD-7174677FB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150811</xdr:colOff>
      <xdr:row>1</xdr:row>
      <xdr:rowOff>38099</xdr:rowOff>
    </xdr:from>
    <xdr:to>
      <xdr:col>24</xdr:col>
      <xdr:colOff>9524</xdr:colOff>
      <xdr:row>46</xdr:row>
      <xdr:rowOff>152399</xdr:rowOff>
    </xdr:to>
    <xdr:graphicFrame macro="">
      <xdr:nvGraphicFramePr>
        <xdr:cNvPr id="2" name="Chart 1">
          <a:extLst>
            <a:ext uri="{FF2B5EF4-FFF2-40B4-BE49-F238E27FC236}">
              <a16:creationId xmlns:a16="http://schemas.microsoft.com/office/drawing/2014/main" id="{1B653E5F-A525-5851-19D5-D17ADE906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339724</xdr:colOff>
      <xdr:row>0</xdr:row>
      <xdr:rowOff>190499</xdr:rowOff>
    </xdr:from>
    <xdr:to>
      <xdr:col>13</xdr:col>
      <xdr:colOff>495299</xdr:colOff>
      <xdr:row>23</xdr:row>
      <xdr:rowOff>133349</xdr:rowOff>
    </xdr:to>
    <xdr:graphicFrame macro="">
      <xdr:nvGraphicFramePr>
        <xdr:cNvPr id="2" name="Chart 1">
          <a:extLst>
            <a:ext uri="{FF2B5EF4-FFF2-40B4-BE49-F238E27FC236}">
              <a16:creationId xmlns:a16="http://schemas.microsoft.com/office/drawing/2014/main" id="{3256F620-273E-3DAC-9EF5-CA48CE820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257174</xdr:colOff>
      <xdr:row>1</xdr:row>
      <xdr:rowOff>19049</xdr:rowOff>
    </xdr:from>
    <xdr:to>
      <xdr:col>19</xdr:col>
      <xdr:colOff>466724</xdr:colOff>
      <xdr:row>29</xdr:row>
      <xdr:rowOff>180974</xdr:rowOff>
    </xdr:to>
    <xdr:graphicFrame macro="">
      <xdr:nvGraphicFramePr>
        <xdr:cNvPr id="2" name="Chart 1">
          <a:extLst>
            <a:ext uri="{FF2B5EF4-FFF2-40B4-BE49-F238E27FC236}">
              <a16:creationId xmlns:a16="http://schemas.microsoft.com/office/drawing/2014/main" id="{B1F2EE6A-625F-8BEA-A463-52DDD6364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209550</xdr:colOff>
      <xdr:row>30</xdr:row>
      <xdr:rowOff>139700</xdr:rowOff>
    </xdr:from>
    <xdr:to>
      <xdr:col>17</xdr:col>
      <xdr:colOff>285750</xdr:colOff>
      <xdr:row>48</xdr:row>
      <xdr:rowOff>95250</xdr:rowOff>
    </xdr:to>
    <xdr:graphicFrame macro="">
      <xdr:nvGraphicFramePr>
        <xdr:cNvPr id="4" name="Chart 3">
          <a:extLst>
            <a:ext uri="{FF2B5EF4-FFF2-40B4-BE49-F238E27FC236}">
              <a16:creationId xmlns:a16="http://schemas.microsoft.com/office/drawing/2014/main" id="{C885A897-0B08-7DAA-C1FE-A0EEA2698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k" refreshedDate="45760.727390740743" createdVersion="8" refreshedVersion="8" minRefreshableVersion="3" recordCount="501" xr:uid="{4E441E47-4C0A-4B7C-9C58-8B9D2F352682}">
  <cacheSource type="worksheet">
    <worksheetSource ref="A1:M502" sheet="Raw Data"/>
  </cacheSource>
  <cacheFields count="15">
    <cacheField name="Ord_id" numFmtId="0">
      <sharedItems count="314">
        <s v="Ord_1343"/>
        <s v="Ord_1438"/>
        <s v="Ord_131"/>
        <s v="Ord_1044"/>
        <s v="Ord_1045"/>
        <s v="Ord_1339"/>
        <s v="Ord_1015"/>
        <s v="Ord_1272"/>
        <s v="Ord_1340"/>
        <s v="Ord_1083"/>
        <s v="Ord_1212"/>
        <s v="Ord_1338"/>
        <s v="Ord_1005"/>
        <s v="Ord_1020"/>
        <s v="Ord_1002"/>
        <s v="Ord_1278"/>
        <s v="Ord_1274"/>
        <s v="Ord_1567"/>
        <s v="Ord_1113"/>
        <s v="Ord_1121"/>
        <s v="Ord_1143"/>
        <s v="Ord_1481"/>
        <s v="Ord_1289"/>
        <s v="Ord_1486"/>
        <s v="Ord_1051"/>
        <s v="Ord_1132"/>
        <s v="Ord_1120"/>
        <s v="Ord_144"/>
        <s v="Ord_1154"/>
        <s v="Ord_1413"/>
        <s v="Ord_1342"/>
        <s v="Ord_1028"/>
        <s v="Ord_1368"/>
        <s v="Ord_1003"/>
        <s v="Ord_1016"/>
        <s v="Ord_105"/>
        <s v="Ord_1011"/>
        <s v="Ord_1059"/>
        <s v="Ord_1030"/>
        <s v="Ord_1017"/>
        <s v="Ord_1167"/>
        <s v="Ord_153"/>
        <s v="Ord_1064"/>
        <s v="Ord_1375"/>
        <s v="Ord_1025"/>
        <s v="Ord_1171"/>
        <s v="Ord_1591"/>
        <s v="Ord_1332"/>
        <s v="Ord_1075"/>
        <s v="Ord_1093"/>
        <s v="Ord_1231"/>
        <s v="Ord_127"/>
        <s v="Ord_1073"/>
        <s v="Ord_1575"/>
        <s v="Ord_1585"/>
        <s v="Ord_1039"/>
        <s v="Ord_1024"/>
        <s v="Ord_1107"/>
        <s v="Ord_1344"/>
        <s v="Ord_1122"/>
        <s v="Ord_1139"/>
        <s v="Ord_1021"/>
        <s v="Ord_1525"/>
        <s v="Ord_1054"/>
        <s v="Ord_1538"/>
        <s v="Ord_1564"/>
        <s v="Ord_1473"/>
        <s v="Ord_10"/>
        <s v="Ord_1501"/>
        <s v="Ord_142"/>
        <s v="Ord_1133"/>
        <s v="Ord_1268"/>
        <s v="Ord_1119"/>
        <s v="Ord_1102"/>
        <s v="Ord_1136"/>
        <s v="Ord_1374"/>
        <s v="Ord_1236"/>
        <s v="Ord_1251"/>
        <s v="Ord_1335"/>
        <s v="Ord_1052"/>
        <s v="Ord_1183"/>
        <s v="Ord_1396"/>
        <s v="Ord_1128"/>
        <s v="Ord_1412"/>
        <s v="Ord_1529"/>
        <s v="Ord_1546"/>
        <s v="Ord_1061"/>
        <s v="Ord_1345"/>
        <s v="Ord_1112"/>
        <s v="Ord_1185"/>
        <s v="Ord_1137"/>
        <s v="Ord_1141"/>
        <s v="Ord_102"/>
        <s v="Ord_1411"/>
        <s v="Ord_123"/>
        <s v="Ord_1092"/>
        <s v="Ord_1386"/>
        <s v="Ord_1452"/>
        <s v="Ord_120"/>
        <s v="Ord_1255"/>
        <s v="Ord_1091"/>
        <s v="Ord_1057"/>
        <s v="Ord_117"/>
        <s v="Ord_1067"/>
        <s v="Ord_100"/>
        <s v="Ord_1019"/>
        <s v="Ord_1031"/>
        <s v="Ord_1055"/>
        <s v="Ord_1105"/>
        <s v="Ord_1378"/>
        <s v="Ord_1181"/>
        <s v="Ord_1599"/>
        <s v="Ord_1163"/>
        <s v="Ord_1243"/>
        <s v="Ord_1447"/>
        <s v="Ord_1491"/>
        <s v="Ord_1443"/>
        <s v="Ord_146"/>
        <s v="Ord_1155"/>
        <s v="Ord_1357"/>
        <s v="Ord_1071"/>
        <s v="Ord_1049"/>
        <s v="Ord_1327"/>
        <s v="Ord_1577"/>
        <s v="Ord_1089"/>
        <s v="Ord_1111"/>
        <s v="Ord_1418"/>
        <s v="Ord_1098"/>
        <s v="Ord_1239"/>
        <s v="Ord_1597"/>
        <s v="Ord_1022"/>
        <s v="Ord_1023"/>
        <s v="Ord_1068"/>
        <s v="Ord_106"/>
        <s v="Ord_1211"/>
        <s v="Ord_1256"/>
        <s v="Ord_1042"/>
        <s v="Ord_1079"/>
        <s v="Ord_1499"/>
        <s v="Ord_1439"/>
        <s v="Ord_1189"/>
        <s v="Ord_1379"/>
        <s v="Ord_1381"/>
        <s v="Ord_1147"/>
        <s v="Ord_1099"/>
        <s v="Ord_1209"/>
        <s v="Ord_1435"/>
        <s v="Ord_118"/>
        <s v="Ord_115"/>
        <s v="Ord_1560"/>
        <s v="Ord_1497"/>
        <s v="Ord_1010"/>
        <s v="Ord_1485"/>
        <s v="Ord_1145"/>
        <s v="Ord_1072"/>
        <s v="Ord_1310"/>
        <s v="Ord_1442"/>
        <s v="Ord_1078"/>
        <s v="Ord_1153"/>
        <s v="Ord_1581"/>
        <s v="Ord_137"/>
        <s v="Ord_1004"/>
        <s v="Ord_1058"/>
        <s v="Ord_103"/>
        <s v="Ord_1034"/>
        <s v="Ord_1007"/>
        <s v="Ord_1032"/>
        <s v="Ord_1046"/>
        <s v="Ord_1076"/>
        <s v="Ord_1354"/>
        <s v="Ord_1252"/>
        <s v="Ord_1228"/>
        <s v="Ord_1366"/>
        <s v="Ord_1311"/>
        <s v="Ord_1502"/>
        <s v="Ord_1367"/>
        <s v="Ord_1394"/>
        <s v="Ord_1043"/>
        <s v="Ord_1130"/>
        <s v="Ord_1545"/>
        <s v="Ord_1296"/>
        <s v="Ord_159"/>
        <s v="Ord_1035"/>
        <s v="Ord_1419"/>
        <s v="Ord_1047"/>
        <s v="Ord_1293"/>
        <s v="Ord_1037"/>
        <s v="Ord_1069"/>
        <s v="Ord_1048"/>
        <s v="Ord_1241"/>
        <s v="Ord_1385"/>
        <s v="Ord_1590"/>
        <s v="Ord_16"/>
        <s v="Ord_1579"/>
        <s v="Ord_1462"/>
        <s v="Ord_1498"/>
        <s v="Ord_1584"/>
        <s v="Ord_101"/>
        <s v="Ord_1588"/>
        <s v="Ord_104"/>
        <s v="Ord_1218"/>
        <s v="Ord_1469"/>
        <s v="Ord_1149"/>
        <s v="Ord_1284"/>
        <s v="Ord_1388"/>
        <s v="Ord_1389"/>
        <s v="Ord_1230"/>
        <s v="Ord_1449"/>
        <s v="Ord_1566"/>
        <s v="Ord_116"/>
        <s v="Ord_1082"/>
        <s v="Ord_1520"/>
        <s v="Ord_1454"/>
        <s v="Ord_1138"/>
        <s v="Ord_1355"/>
        <s v="Ord_1012"/>
        <s v="Ord_1001"/>
        <s v="Ord_107"/>
        <s v="Ord_1077"/>
        <s v="Ord_1203"/>
        <s v="Ord_1571"/>
        <s v="Ord_1353"/>
        <s v="Ord_1384"/>
        <s v="Ord_1226"/>
        <s v="Ord_1568"/>
        <s v="Ord_1387"/>
        <s v="Ord_1399"/>
        <s v="Ord_1431"/>
        <s v="Ord_1009"/>
        <s v="Ord_1164"/>
        <s v="Ord_1238"/>
        <s v="Ord_1578"/>
        <s v="Ord_1414"/>
        <s v="Ord_1489"/>
        <s v="Ord_1106"/>
        <s v="Ord_1157"/>
        <s v="Ord_1247"/>
        <s v="Ord_1395"/>
        <s v="Ord_1018"/>
        <s v="Ord_130"/>
        <s v="Ord_1453"/>
        <s v="Ord_145"/>
        <s v="Ord_1382"/>
        <s v="Ord_1383"/>
        <s v="Ord_1213"/>
        <s v="Ord_1514"/>
        <s v="Ord_1"/>
        <s v="Ord_1070"/>
        <s v="Ord_1008"/>
        <s v="Ord_1029"/>
        <s v="Ord_1056"/>
        <s v="Ord_1065"/>
        <s v="Ord_121"/>
        <s v="Ord_1244"/>
        <s v="Ord_1595"/>
        <s v="Ord_1144"/>
        <s v="Ord_1321"/>
        <s v="Ord_1173"/>
        <s v="Ord_1192"/>
        <s v="Ord_1331"/>
        <s v="Ord_1178"/>
        <s v="Ord_1266"/>
        <s v="Ord_1358"/>
        <s v="Ord_1459"/>
        <s v="Ord_1377"/>
        <s v="Ord_1433"/>
        <s v="Ord_1424"/>
        <s v="Ord_1434"/>
        <s v="Ord_134"/>
        <s v="Ord_1503"/>
        <s v="Ord_1027"/>
        <s v="Ord_1038"/>
        <s v="Ord_1026"/>
        <s v="Ord_1062"/>
        <s v="Ord_1041"/>
        <s v="Ord_1066"/>
        <s v="Ord_1437"/>
        <s v="Ord_1094"/>
        <s v="Ord_15"/>
        <s v="Ord_1081"/>
        <s v="Ord_139"/>
        <s v="Ord_1428"/>
        <s v="Ord_1402"/>
        <s v="Ord_1014"/>
        <s v="Ord_1158"/>
        <s v="Ord_1475"/>
        <s v="Ord_1277"/>
        <s v="Ord_1275"/>
        <s v="Ord_152"/>
        <s v="Ord_1191"/>
        <s v="Ord_1162"/>
        <s v="Ord_1271"/>
        <s v="Ord_1409"/>
        <s v="Ord_1420"/>
        <s v="Ord_1318"/>
        <s v="Ord_1563"/>
        <s v="Ord_1544"/>
        <s v="Ord_1006"/>
        <s v="Ord_1229"/>
        <s v="Ord_1000"/>
        <s v="Ord_1063"/>
        <s v="Ord_1050"/>
        <s v="Ord_1060"/>
        <s v="Ord_1160"/>
        <s v="Ord_1172"/>
        <s v="Ord_1232"/>
        <s v="Ord_1356"/>
        <s v="Ord_1536"/>
        <s v="Ord_1053"/>
        <s v="Ord_1036"/>
        <s v="Ord_1013"/>
        <s v="Ord_1040"/>
        <s v="Ord_1074"/>
        <s v="Ord_1033"/>
      </sharedItems>
    </cacheField>
    <cacheField name="Order_Date" numFmtId="14">
      <sharedItems containsSemiMixedTypes="0" containsNonDate="0" containsDate="1" containsString="0" minDate="2018-01-03T00:00:00" maxDate="2019-01-01T00:00:00" count="166">
        <d v="2018-01-03T00:00:00"/>
        <d v="2018-01-04T00:00:00"/>
        <d v="2018-01-05T00:00:00"/>
        <d v="2018-01-06T00:00:00"/>
        <d v="2018-01-07T00:00:00"/>
        <d v="2018-01-11T00:00:00"/>
        <d v="2018-01-12T00:00:00"/>
        <d v="2018-01-18T00:00:00"/>
        <d v="2018-01-22T00:00:00"/>
        <d v="2018-01-26T00:00:00"/>
        <d v="2018-02-01T00:00:00"/>
        <d v="2018-02-02T00:00:00"/>
        <d v="2018-02-03T00:00:00"/>
        <d v="2018-02-04T00:00:00"/>
        <d v="2018-02-06T00:00:00"/>
        <d v="2018-02-07T00:00:00"/>
        <d v="2018-02-08T00:00:00"/>
        <d v="2018-02-09T00:00:00"/>
        <d v="2018-02-11T00:00:00"/>
        <d v="2018-02-12T00:00:00"/>
        <d v="2018-02-13T00:00:00"/>
        <d v="2018-02-16T00:00:00"/>
        <d v="2018-02-18T00:00:00"/>
        <d v="2018-02-19T00:00:00"/>
        <d v="2018-02-21T00:00:00"/>
        <d v="2018-02-23T00:00:00"/>
        <d v="2018-02-26T00:00:00"/>
        <d v="2018-03-01T00:00:00"/>
        <d v="2018-03-03T00:00:00"/>
        <d v="2018-03-04T00:00:00"/>
        <d v="2018-03-05T00:00:00"/>
        <d v="2018-03-06T00:00:00"/>
        <d v="2018-03-07T00:00:00"/>
        <d v="2018-03-08T00:00:00"/>
        <d v="2018-03-10T00:00:00"/>
        <d v="2018-03-12T00:00:00"/>
        <d v="2018-03-23T00:00:00"/>
        <d v="2018-03-24T00:00:00"/>
        <d v="2018-04-01T00:00:00"/>
        <d v="2018-04-02T00:00:00"/>
        <d v="2018-04-03T00:00:00"/>
        <d v="2018-04-04T00:00:00"/>
        <d v="2018-04-05T00:00:00"/>
        <d v="2018-04-07T00:00:00"/>
        <d v="2018-04-08T00:00:00"/>
        <d v="2018-04-10T00:00:00"/>
        <d v="2018-04-11T00:00:00"/>
        <d v="2018-04-12T00:00:00"/>
        <d v="2018-05-01T00:00:00"/>
        <d v="2018-05-02T00:00:00"/>
        <d v="2018-05-03T00:00:00"/>
        <d v="2018-05-04T00:00:00"/>
        <d v="2018-05-05T00:00:00"/>
        <d v="2018-05-06T00:00:00"/>
        <d v="2018-05-07T00:00:00"/>
        <d v="2018-05-08T00:00:00"/>
        <d v="2018-05-09T00:00:00"/>
        <d v="2018-05-10T00:00:00"/>
        <d v="2018-05-11T00:00:00"/>
        <d v="2018-05-12T00:00:00"/>
        <d v="2018-05-16T00:00:00"/>
        <d v="2018-05-17T00:00:00"/>
        <d v="2018-05-20T00:00:00"/>
        <d v="2018-05-30T00:00:00"/>
        <d v="2018-06-01T00:00:00"/>
        <d v="2018-06-02T00:00:00"/>
        <d v="2018-06-04T00:00:00"/>
        <d v="2018-06-05T00:00:00"/>
        <d v="2018-06-06T00:00:00"/>
        <d v="2018-06-07T00:00:00"/>
        <d v="2018-06-08T00:00:00"/>
        <d v="2018-06-09T00:00:00"/>
        <d v="2018-06-10T00:00:00"/>
        <d v="2018-06-11T00:00:00"/>
        <d v="2018-06-12T00:00:00"/>
        <d v="2018-06-22T00:00:00"/>
        <d v="2018-06-26T00:00:00"/>
        <d v="2018-06-27T00:00:00"/>
        <d v="2018-07-01T00:00:00"/>
        <d v="2018-07-02T00:00:00"/>
        <d v="2018-07-03T00:00:00"/>
        <d v="2018-07-04T00:00:00"/>
        <d v="2018-07-05T00:00:00"/>
        <d v="2018-07-06T00:00:00"/>
        <d v="2018-07-07T00:00:00"/>
        <d v="2018-07-08T00:00:00"/>
        <d v="2018-07-09T00:00:00"/>
        <d v="2018-07-10T00:00:00"/>
        <d v="2018-07-11T00:00:00"/>
        <d v="2018-07-12T00:00:00"/>
        <d v="2018-07-20T00:00:00"/>
        <d v="2018-07-22T00:00:00"/>
        <d v="2018-07-25T00:00:00"/>
        <d v="2018-07-26T00:00:00"/>
        <d v="2018-07-29T00:00:00"/>
        <d v="2018-07-30T00:00:00"/>
        <d v="2018-08-02T00:00:00"/>
        <d v="2018-08-03T00:00:00"/>
        <d v="2018-08-04T00:00:00"/>
        <d v="2018-08-05T00:00:00"/>
        <d v="2018-08-06T00:00:00"/>
        <d v="2018-08-08T00:00:00"/>
        <d v="2018-08-09T00:00:00"/>
        <d v="2018-08-11T00:00:00"/>
        <d v="2018-08-12T00:00:00"/>
        <d v="2018-08-17T00:00:00"/>
        <d v="2018-08-20T00:00:00"/>
        <d v="2018-08-30T00:00:00"/>
        <d v="2018-09-01T00:00:00"/>
        <d v="2018-09-02T00:00:00"/>
        <d v="2018-09-03T00:00:00"/>
        <d v="2018-09-04T00:00:00"/>
        <d v="2018-09-05T00:00:00"/>
        <d v="2018-09-07T00:00:00"/>
        <d v="2018-09-08T00:00:00"/>
        <d v="2018-09-10T00:00:00"/>
        <d v="2018-09-11T00:00:00"/>
        <d v="2018-09-12T00:00:00"/>
        <d v="2018-09-24T00:00:00"/>
        <d v="2018-09-27T00:00:00"/>
        <d v="2018-09-30T00:00:00"/>
        <d v="2018-10-01T00:00:00"/>
        <d v="2018-10-02T00:00:00"/>
        <d v="2018-10-03T00:00:00"/>
        <d v="2018-10-04T00:00:00"/>
        <d v="2018-10-05T00:00:00"/>
        <d v="2018-10-06T00:00:00"/>
        <d v="2018-10-07T00:00:00"/>
        <d v="2018-10-08T00:00:00"/>
        <d v="2018-10-09T00:00:00"/>
        <d v="2018-10-12T00:00:00"/>
        <d v="2018-10-13T00:00:00"/>
        <d v="2018-10-14T00:00:00"/>
        <d v="2018-10-26T00:00:00"/>
        <d v="2018-10-29T00:00:00"/>
        <d v="2018-10-30T00:00:00"/>
        <d v="2018-11-01T00:00:00"/>
        <d v="2018-11-02T00:00:00"/>
        <d v="2018-11-03T00:00:00"/>
        <d v="2018-11-04T00:00:00"/>
        <d v="2018-11-06T00:00:00"/>
        <d v="2018-11-08T00:00:00"/>
        <d v="2018-11-09T00:00:00"/>
        <d v="2018-11-10T00:00:00"/>
        <d v="2018-11-11T00:00:00"/>
        <d v="2018-11-13T00:00:00"/>
        <d v="2018-11-19T00:00:00"/>
        <d v="2018-11-21T00:00:00"/>
        <d v="2018-11-23T00:00:00"/>
        <d v="2018-12-01T00:00:00"/>
        <d v="2018-12-02T00:00:00"/>
        <d v="2018-12-03T00:00:00"/>
        <d v="2018-12-04T00:00:00"/>
        <d v="2018-12-05T00:00:00"/>
        <d v="2018-12-06T00:00:00"/>
        <d v="2018-12-07T00:00:00"/>
        <d v="2018-12-08T00:00:00"/>
        <d v="2018-12-09T00:00:00"/>
        <d v="2018-12-10T00:00:00"/>
        <d v="2018-12-11T00:00:00"/>
        <d v="2018-12-12T00:00:00"/>
        <d v="2018-12-14T00:00:00"/>
        <d v="2018-12-16T00:00:00"/>
        <d v="2018-12-18T00:00:00"/>
        <d v="2018-12-24T00:00:00"/>
        <d v="2018-12-31T00:00:00"/>
      </sharedItems>
      <fieldGroup par="14"/>
    </cacheField>
    <cacheField name="Order_Priority" numFmtId="0">
      <sharedItems/>
    </cacheField>
    <cacheField name="Prod_id" numFmtId="0">
      <sharedItems/>
    </cacheField>
    <cacheField name="Product_Category" numFmtId="0">
      <sharedItems count="3">
        <s v="OFFICE SUPPLIES"/>
        <s v="FURNITURE"/>
        <s v="TECHNOLOGY"/>
      </sharedItems>
    </cacheField>
    <cacheField name="Product_Sub_Category" numFmtId="0">
      <sharedItems count="17">
        <s v="PAPER"/>
        <s v="BINDERS AND BINDER ACCESSORIES"/>
        <s v="OFFICE FURNISHINGS"/>
        <s v="STORAGE &amp; ORGANIZATION"/>
        <s v="BOOKCASES"/>
        <s v="RUBBER BANDS"/>
        <s v="ENVELOPES"/>
        <s v="CHAIRS &amp; CHAIRMATS"/>
        <s v="COMPUTER PERIPHERALS"/>
        <s v="PENS &amp; ART SUPPLIES"/>
        <s v="SCISSORS, RULERS AND TRIMMERS"/>
        <s v="TELEPHONES AND COMMUNICATION"/>
        <s v="APPLIANCES"/>
        <s v="OFFICE MACHINES"/>
        <s v="TABLES"/>
        <s v="LABELS"/>
        <s v="COPIERS AND FAX"/>
      </sharedItems>
    </cacheField>
    <cacheField name="Cust_id" numFmtId="0">
      <sharedItems/>
    </cacheField>
    <cacheField name="Sales" numFmtId="0">
      <sharedItems containsSemiMixedTypes="0" containsString="0" containsNumber="1" minValue="4.99" maxValue="23792.93" count="500">
        <n v="434.77"/>
        <n v="2478.88"/>
        <n v="1049.79"/>
        <n v="817.18"/>
        <n v="3904.12"/>
        <n v="343.64"/>
        <n v="256.64"/>
        <n v="156.47"/>
        <n v="124.06"/>
        <n v="6739.92"/>
        <n v="1559.5"/>
        <n v="192.33"/>
        <n v="464.59"/>
        <n v="316.68"/>
        <n v="194.29"/>
        <n v="1621.1"/>
        <n v="35.479999999999997"/>
        <n v="15"/>
        <n v="4584.7299999999996"/>
        <n v="2570.944"/>
        <n v="4039.72"/>
        <n v="562.79999999999995"/>
        <n v="1756.46"/>
        <n v="70.25"/>
        <n v="5.7"/>
        <n v="66.41"/>
        <n v="1375.3765000000001"/>
        <n v="11041.42"/>
        <n v="303.58999999999997"/>
        <n v="191.6"/>
        <n v="393.31"/>
        <n v="513.74"/>
        <n v="36.799999999999997"/>
        <n v="487.5"/>
        <n v="97.93"/>
        <n v="25.52"/>
        <n v="824.24"/>
        <n v="445.17"/>
        <n v="1455.04"/>
        <n v="4865.72"/>
        <n v="116.82"/>
        <n v="483.64"/>
        <n v="83.31"/>
        <n v="457.68"/>
        <n v="10006.280000000001"/>
        <n v="407.17"/>
        <n v="66.19"/>
        <n v="1100.21"/>
        <n v="49.04"/>
        <n v="2320.35"/>
        <n v="138.05000000000001"/>
        <n v="10554.63"/>
        <n v="1749.64"/>
        <n v="3465.97"/>
        <n v="1307.8800000000001"/>
        <n v="71.12"/>
        <n v="834.81"/>
        <n v="433.44"/>
        <n v="85.56"/>
        <n v="754.65549999999996"/>
        <n v="261.88"/>
        <n v="593.73"/>
        <n v="1409.86"/>
        <n v="2703.37"/>
        <n v="1538.17"/>
        <n v="364.8"/>
        <n v="150.33000000000001"/>
        <n v="112.91"/>
        <n v="180.92"/>
        <n v="31.68"/>
        <n v="2508.6729999999998"/>
        <n v="1209.3699999999999"/>
        <n v="113.09"/>
        <n v="5051.8900000000003"/>
        <n v="54.78"/>
        <n v="304.83"/>
        <n v="270.43"/>
        <n v="945.54"/>
        <n v="3234.1"/>
        <n v="188.07"/>
        <n v="75.27"/>
        <n v="3683.73"/>
        <n v="1184.53"/>
        <n v="876.75"/>
        <n v="2249.0500000000002"/>
        <n v="4813.67"/>
        <n v="218.77"/>
        <n v="73.55"/>
        <n v="4804.0384999999997"/>
        <n v="69.66"/>
        <n v="5544.99"/>
        <n v="11266.4"/>
        <n v="71.61"/>
        <n v="10.43"/>
        <n v="330.22"/>
        <n v="210.86"/>
        <n v="916.05"/>
        <n v="99.36"/>
        <n v="510.15"/>
        <n v="735.09"/>
        <n v="80.61"/>
        <n v="191.43"/>
        <n v="1234.8499999999999"/>
        <n v="17.190000000000001"/>
        <n v="15.31"/>
        <n v="2689.48"/>
        <n v="2329.4"/>
        <n v="103.72"/>
        <n v="185.15"/>
        <n v="308.64"/>
        <n v="58.98"/>
        <n v="54.8"/>
        <n v="1038.19"/>
        <n v="39.44"/>
        <n v="11.01"/>
        <n v="292.95999999999998"/>
        <n v="2206.991"/>
        <n v="154.44"/>
        <n v="4201.08"/>
        <n v="8958.4599999999991"/>
        <n v="4913.7"/>
        <n v="120.53"/>
        <n v="438.47"/>
        <n v="112.57"/>
        <n v="1562.69"/>
        <n v="75.19"/>
        <n v="3028.86"/>
        <n v="186.67"/>
        <n v="185.79"/>
        <n v="196.41"/>
        <n v="2051.8235"/>
        <n v="87.31"/>
        <n v="564.98"/>
        <n v="129.47999999999999"/>
        <n v="5567.79"/>
        <n v="503.29349999999999"/>
        <n v="796.03"/>
        <n v="333.3"/>
        <n v="63.34"/>
        <n v="151.35"/>
        <n v="325.97000000000003"/>
        <n v="49.65"/>
        <n v="12.11"/>
        <n v="195.51"/>
        <n v="377.13"/>
        <n v="1255.48"/>
        <n v="411.56"/>
        <n v="128.21"/>
        <n v="1567.51"/>
        <n v="1914.65"/>
        <n v="82.61"/>
        <n v="927.82"/>
        <n v="123.37"/>
        <n v="90.75"/>
        <n v="1992.45"/>
        <n v="4587.9260000000004"/>
        <n v="4541.924"/>
        <n v="387"/>
        <n v="338.89"/>
        <n v="362.52"/>
        <n v="463"/>
        <n v="436.98"/>
        <n v="173.417"/>
        <n v="7333.45"/>
        <n v="121.12"/>
        <n v="112.36"/>
        <n v="481.04899999999998"/>
        <n v="335.35"/>
        <n v="148.31"/>
        <n v="321.70999999999998"/>
        <n v="108.73"/>
        <n v="1446.97"/>
        <n v="7548.65"/>
        <n v="1318.8685"/>
        <n v="643.53"/>
        <n v="1217.77"/>
        <n v="77.959999999999994"/>
        <n v="2227.34"/>
        <n v="476.06"/>
        <n v="67.87"/>
        <n v="542.24"/>
        <n v="15174.95"/>
        <n v="1084.1199999999999"/>
        <n v="5382.24"/>
        <n v="1035.95"/>
        <n v="3051.27"/>
        <n v="33.64"/>
        <n v="701.94"/>
        <n v="482.91"/>
        <n v="2969.6365000000001"/>
        <n v="115.45"/>
        <n v="163.89"/>
        <n v="42.67"/>
        <n v="391.42"/>
        <n v="387.79"/>
        <n v="9046.33"/>
        <n v="367.96"/>
        <n v="159.05000000000001"/>
        <n v="116.14"/>
        <n v="1196.7915"/>
        <n v="442.57"/>
        <n v="53.737000000000002"/>
        <n v="5236.1400000000003"/>
        <n v="74.02"/>
        <n v="87.23"/>
        <n v="6123.48"/>
        <n v="2011.6355000000001"/>
        <n v="260.58999999999997"/>
        <n v="503.08"/>
        <n v="4256.51"/>
        <n v="76.94"/>
        <n v="18.37"/>
        <n v="1943.72"/>
        <n v="6175.777"/>
        <n v="50.07"/>
        <n v="147.16"/>
        <n v="6982.87"/>
        <n v="607.59699999999998"/>
        <n v="748.25"/>
        <n v="619.77"/>
        <n v="3900.5309999999999"/>
        <n v="248.42"/>
        <n v="3351.55"/>
        <n v="49.61"/>
        <n v="711.1"/>
        <n v="498.16"/>
        <n v="351.49"/>
        <n v="74.13"/>
        <n v="195.03"/>
        <n v="244.85"/>
        <n v="198.08"/>
        <n v="28.65"/>
        <n v="201.535"/>
        <n v="437.86"/>
        <n v="23792.93"/>
        <n v="234.28"/>
        <n v="1779.8915"/>
        <n v="207.08"/>
        <n v="870.75"/>
        <n v="43.37"/>
        <n v="121.19"/>
        <n v="195.23"/>
        <n v="4051.8"/>
        <n v="385.99"/>
        <n v="48.37"/>
        <n v="154.94"/>
        <n v="1642.6420000000001"/>
        <n v="125.16"/>
        <n v="258.13"/>
        <n v="257.97000000000003"/>
        <n v="356.95"/>
        <n v="2063.42"/>
        <n v="112.86"/>
        <n v="382.19"/>
        <n v="2573.92"/>
        <n v="727.64"/>
        <n v="2564.5774999999999"/>
        <n v="2795.0039999999999"/>
        <n v="78.47"/>
        <n v="108.42"/>
        <n v="139.54"/>
        <n v="199.52"/>
        <n v="85.66"/>
        <n v="136.68"/>
        <n v="1452.48"/>
        <n v="3555.29"/>
        <n v="252.79"/>
        <n v="113.5"/>
        <n v="2766.8180000000002"/>
        <n v="1925.83"/>
        <n v="185.64"/>
        <n v="225.98"/>
        <n v="404.24"/>
        <n v="1381.88"/>
        <n v="156.15"/>
        <n v="119.63"/>
        <n v="177.92"/>
        <n v="2451.41"/>
        <n v="851.24"/>
        <n v="1246.52"/>
        <n v="105.85"/>
        <n v="179.33"/>
        <n v="1562.97"/>
        <n v="894.64"/>
        <n v="260.39"/>
        <n v="171.52"/>
        <n v="4201.47"/>
        <n v="55.66"/>
        <n v="115.54"/>
        <n v="270.23"/>
        <n v="660.27"/>
        <n v="357.43"/>
        <n v="4754.08"/>
        <n v="1207.08"/>
        <n v="2618.1120000000001"/>
        <n v="6688.11"/>
        <n v="16.73"/>
        <n v="17717.34"/>
        <n v="264.75"/>
        <n v="252.99"/>
        <n v="518.79999999999995"/>
        <n v="45.87"/>
        <n v="268.94"/>
        <n v="847.82"/>
        <n v="47.03"/>
        <n v="511.83"/>
        <n v="184.99"/>
        <n v="23.38"/>
        <n v="139.37"/>
        <n v="1221.6199999999999"/>
        <n v="38.56"/>
        <n v="48.01"/>
        <n v="129.06"/>
        <n v="1236.6400000000001"/>
        <n v="300.2"/>
        <n v="1364.8025"/>
        <n v="36.369999999999997"/>
        <n v="50.97"/>
        <n v="4.99"/>
        <n v="9418.73"/>
        <n v="1265.4970000000001"/>
        <n v="5.68"/>
        <n v="174.59"/>
        <n v="311.20999999999998"/>
        <n v="109.37"/>
        <n v="238.74"/>
        <n v="633.13"/>
        <n v="10.33"/>
        <n v="14.39"/>
        <n v="96.75"/>
        <n v="1136.47"/>
        <n v="325.81"/>
        <n v="1223.1099999999999"/>
        <n v="114.12"/>
        <n v="436.05"/>
        <n v="5247.4835000000003"/>
        <n v="240.63"/>
        <n v="30.47"/>
        <n v="1278.6465000000001"/>
        <n v="170.45"/>
        <n v="350.42"/>
        <n v="1968.47"/>
        <n v="104.51"/>
        <n v="1981.26"/>
        <n v="157.97"/>
        <n v="1307.3499999999999"/>
        <n v="523.58000000000004"/>
        <n v="69.98"/>
        <n v="418.34"/>
        <n v="45.61"/>
        <n v="17.7"/>
        <n v="188.34"/>
        <n v="1493.8579999999999"/>
        <n v="32.49"/>
        <n v="111.66"/>
        <n v="231.95"/>
        <n v="199.12"/>
        <n v="63.14"/>
        <n v="1297.4485"/>
        <n v="138.24"/>
        <n v="124.84"/>
        <n v="2430.34"/>
        <n v="218.6"/>
        <n v="450.39"/>
        <n v="1193.1195"/>
        <n v="2219.79"/>
        <n v="237.36"/>
        <n v="9492.92"/>
        <n v="89.18"/>
        <n v="1540.2850000000001"/>
        <n v="3978.02"/>
        <n v="843.15"/>
        <n v="235.09"/>
        <n v="187.46"/>
        <n v="203.4"/>
        <n v="309.45999999999998"/>
        <n v="1538.33"/>
        <n v="147.46"/>
        <n v="132.72"/>
        <n v="138.96"/>
        <n v="158.97"/>
        <n v="55.59"/>
        <n v="376.65"/>
        <n v="40.06"/>
        <n v="6163.52"/>
        <n v="1003.31"/>
        <n v="6048.18"/>
        <n v="1665.0395000000001"/>
        <n v="2367.9899999999998"/>
        <n v="522.05999999999995"/>
        <n v="1218.08"/>
        <n v="172.9"/>
        <n v="7341.96"/>
        <n v="261.54000000000002"/>
        <n v="17304.849999999999"/>
        <n v="794.32"/>
        <n v="689.67"/>
        <n v="199.93"/>
        <n v="5198.12"/>
        <n v="188.53"/>
        <n v="718.41"/>
        <n v="9843.11"/>
        <n v="7190.06"/>
        <n v="1143.45"/>
        <n v="1965.21"/>
        <n v="1002.73"/>
        <n v="317.58999999999997"/>
        <n v="16587.13"/>
        <n v="507.98"/>
        <n v="887.45"/>
        <n v="355.97"/>
        <n v="430.55"/>
        <n v="3821.0390000000002"/>
        <n v="1495.184"/>
        <n v="1388.6279999999999"/>
        <n v="21.46"/>
        <n v="165.37"/>
        <n v="1785.74"/>
        <n v="127.56"/>
        <n v="37.299999999999997"/>
        <n v="16.600000000000001"/>
        <n v="25.1"/>
        <n v="125.46"/>
        <n v="553.02"/>
        <n v="6693.28"/>
        <n v="1482.81"/>
        <n v="275.91000000000003"/>
        <n v="378.08"/>
        <n v="731.71"/>
        <n v="1118.82"/>
        <n v="79.75"/>
        <n v="3367.24"/>
        <n v="5723.24"/>
        <n v="15602.93"/>
        <n v="85.77"/>
        <n v="149.31"/>
        <n v="933.21"/>
        <n v="3701.5205000000001"/>
        <n v="6435.87"/>
        <n v="312.02999999999997"/>
        <n v="1603.27"/>
        <n v="145.93"/>
        <n v="3220.58"/>
        <n v="103.62"/>
        <n v="59.03"/>
        <n v="97.48"/>
        <n v="2853.8834999999999"/>
        <n v="2671.21"/>
        <n v="583.55999999999995"/>
        <n v="281.47000000000003"/>
        <n v="236.45"/>
        <n v="131.09"/>
        <n v="1817.9"/>
        <n v="473.88"/>
        <n v="849.03099999999995"/>
        <n v="167.46"/>
        <n v="2255.1945000000001"/>
        <n v="187.13"/>
        <n v="26.23"/>
        <n v="557.23"/>
        <n v="2612.89"/>
        <n v="1146.992"/>
        <n v="64.44"/>
        <n v="4581.41"/>
        <n v="128.5"/>
        <n v="311.64999999999998"/>
        <n v="101.19"/>
        <n v="52.096499999999999"/>
        <n v="102.56"/>
        <n v="15.87"/>
        <n v="345.57"/>
        <n v="60.92"/>
        <n v="387.17"/>
        <n v="1758.41"/>
        <n v="3505.6"/>
        <n v="334.71"/>
        <n v="54.3"/>
        <n v="690.88"/>
        <n v="691.09"/>
        <n v="713.7"/>
        <n v="270.73"/>
        <n v="240.18"/>
        <n v="529.28"/>
        <n v="302.91000000000003"/>
        <n v="842.61350000000004"/>
        <n v="1082.43"/>
        <n v="14475.74"/>
        <n v="306.62049999999999"/>
        <n v="230.72"/>
        <n v="142.15"/>
        <n v="88.7"/>
        <n v="293.47000000000003"/>
        <n v="262.77999999999997"/>
        <n v="1601.32"/>
        <n v="1064.7864999999999"/>
        <n v="1281.28"/>
        <n v="1940.31"/>
        <n v="430.84800000000001"/>
        <n v="1339.25"/>
        <n v="605.1"/>
      </sharedItems>
    </cacheField>
    <cacheField name="Discount" numFmtId="0">
      <sharedItems containsSemiMixedTypes="0" containsString="0" containsNumber="1" minValue="0" maxValue="0.1"/>
    </cacheField>
    <cacheField name="Order_Quantity" numFmtId="0">
      <sharedItems containsSemiMixedTypes="0" containsString="0" containsNumber="1" containsInteger="1" minValue="1" maxValue="50"/>
    </cacheField>
    <cacheField name="Profit" numFmtId="0">
      <sharedItems containsSemiMixedTypes="0" containsString="0" containsNumber="1" minValue="-3476.86" maxValue="10951.31"/>
    </cacheField>
    <cacheField name="Shipping_Cost" numFmtId="0">
      <sharedItems containsSemiMixedTypes="0" containsString="0" containsNumber="1" minValue="0.49" maxValue="143.71"/>
    </cacheField>
    <cacheField name="Product_Base_Margin" numFmtId="0">
      <sharedItems containsMixedTypes="1" containsNumber="1" minValue="0.35" maxValue="0.83"/>
    </cacheField>
    <cacheField name="Months (Order_Date)" numFmtId="0" databaseField="0">
      <fieldGroup base="1">
        <rangePr groupBy="months" startDate="2018-01-03T00:00:00" endDate="2019-01-01T00:00:00"/>
        <groupItems count="14">
          <s v="&lt;1/3/2018"/>
          <s v="Jan"/>
          <s v="Feb"/>
          <s v="Mar"/>
          <s v="Apr"/>
          <s v="May"/>
          <s v="Jun"/>
          <s v="Jul"/>
          <s v="Aug"/>
          <s v="Sep"/>
          <s v="Oct"/>
          <s v="Nov"/>
          <s v="Dec"/>
          <s v="&gt;1/1/2019"/>
        </groupItems>
      </fieldGroup>
    </cacheField>
    <cacheField name="Quarters (Order_Date)" numFmtId="0" databaseField="0">
      <fieldGroup base="1">
        <rangePr groupBy="quarters" startDate="2018-01-03T00:00:00" endDate="2019-01-01T00:00:00"/>
        <groupItems count="6">
          <s v="&lt;1/3/2018"/>
          <s v="Qtr1"/>
          <s v="Qtr2"/>
          <s v="Qtr3"/>
          <s v="Qtr4"/>
          <s v="&gt;1/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s v="HIGH"/>
    <s v="Prod_6"/>
    <x v="0"/>
    <x v="0"/>
    <s v="Cust_501"/>
    <x v="0"/>
    <n v="0.02"/>
    <n v="37"/>
    <n v="-155.21"/>
    <n v="11.25"/>
    <n v="0.36"/>
  </r>
  <r>
    <x v="1"/>
    <x v="1"/>
    <s v="MEDIUM"/>
    <s v="Prod_3"/>
    <x v="0"/>
    <x v="1"/>
    <s v="Cust_540"/>
    <x v="1"/>
    <n v="0.02"/>
    <n v="6"/>
    <n v="593.59"/>
    <n v="19.989999999999998"/>
    <n v="0.38"/>
  </r>
  <r>
    <x v="2"/>
    <x v="1"/>
    <s v="LOW"/>
    <s v="Prod_5"/>
    <x v="1"/>
    <x v="2"/>
    <s v="Cust_78"/>
    <x v="2"/>
    <n v="0.08"/>
    <n v="21"/>
    <n v="135.79"/>
    <n v="19.989999999999998"/>
    <n v="0.55000000000000004"/>
  </r>
  <r>
    <x v="2"/>
    <x v="1"/>
    <s v="LOW"/>
    <s v="Prod_1"/>
    <x v="0"/>
    <x v="3"/>
    <s v="Cust_78"/>
    <x v="3"/>
    <n v="0.1"/>
    <n v="16"/>
    <n v="103.38"/>
    <n v="5.08"/>
    <n v="0.59"/>
  </r>
  <r>
    <x v="3"/>
    <x v="2"/>
    <s v="CRITICAL"/>
    <s v="Prod_10"/>
    <x v="1"/>
    <x v="4"/>
    <s v="Cust_391"/>
    <x v="4"/>
    <n v="7.0000000000000007E-2"/>
    <n v="50"/>
    <n v="-1508.46"/>
    <n v="55.81"/>
    <n v="0.6"/>
  </r>
  <r>
    <x v="3"/>
    <x v="2"/>
    <s v="CRITICAL"/>
    <s v="Prod_5"/>
    <x v="1"/>
    <x v="2"/>
    <s v="Cust_391"/>
    <x v="5"/>
    <n v="0.06"/>
    <n v="41"/>
    <n v="13.29"/>
    <n v="3.44"/>
    <n v="0.49"/>
  </r>
  <r>
    <x v="4"/>
    <x v="2"/>
    <s v="LOW"/>
    <s v="Prod_7"/>
    <x v="0"/>
    <x v="5"/>
    <s v="Cust_391"/>
    <x v="6"/>
    <n v="0.03"/>
    <n v="42"/>
    <n v="-28.29"/>
    <n v="3.37"/>
    <n v="0.54"/>
  </r>
  <r>
    <x v="5"/>
    <x v="2"/>
    <s v="HIGH"/>
    <s v="Prod_3"/>
    <x v="0"/>
    <x v="1"/>
    <s v="Cust_499"/>
    <x v="7"/>
    <n v="0.01"/>
    <n v="20"/>
    <n v="-39.229999999999997"/>
    <n v="6.05"/>
    <n v="0.39"/>
  </r>
  <r>
    <x v="6"/>
    <x v="3"/>
    <s v="CRITICAL"/>
    <s v="Prod_9"/>
    <x v="0"/>
    <x v="6"/>
    <s v="Cust_370"/>
    <x v="8"/>
    <n v="0.09"/>
    <n v="17"/>
    <n v="15.74"/>
    <n v="2.5"/>
    <n v="0.38"/>
  </r>
  <r>
    <x v="7"/>
    <x v="3"/>
    <s v="LOW"/>
    <s v="Prod_15"/>
    <x v="1"/>
    <x v="7"/>
    <s v="Cust_464"/>
    <x v="9"/>
    <n v="0.01"/>
    <n v="35"/>
    <n v="957.29"/>
    <n v="30"/>
    <n v="0.69"/>
  </r>
  <r>
    <x v="8"/>
    <x v="4"/>
    <s v="CRITICAL"/>
    <s v="Prod_8"/>
    <x v="2"/>
    <x v="8"/>
    <s v="Cust_511"/>
    <x v="10"/>
    <n v="0.01"/>
    <n v="38"/>
    <n v="515.83000000000004"/>
    <n v="1.99"/>
    <n v="0.54"/>
  </r>
  <r>
    <x v="9"/>
    <x v="5"/>
    <s v="LOW"/>
    <s v="Prod_13"/>
    <x v="0"/>
    <x v="9"/>
    <s v="Cust_418"/>
    <x v="11"/>
    <n v="0.01"/>
    <n v="44"/>
    <n v="48.54"/>
    <n v="1.2"/>
    <n v="0.44"/>
  </r>
  <r>
    <x v="10"/>
    <x v="6"/>
    <s v="NOT SPECIFIED"/>
    <s v="Prod_3"/>
    <x v="0"/>
    <x v="1"/>
    <s v="Cust_458"/>
    <x v="12"/>
    <n v="7.0000000000000007E-2"/>
    <n v="17"/>
    <n v="168.22"/>
    <n v="1.49"/>
    <n v="0.38"/>
  </r>
  <r>
    <x v="10"/>
    <x v="6"/>
    <s v="NOT SPECIFIED"/>
    <s v="Prod_6"/>
    <x v="0"/>
    <x v="0"/>
    <s v="Cust_458"/>
    <x v="13"/>
    <n v="0.06"/>
    <n v="47"/>
    <n v="-161"/>
    <n v="7.49"/>
    <n v="0.37"/>
  </r>
  <r>
    <x v="11"/>
    <x v="6"/>
    <s v="LOW"/>
    <s v="Prod_16"/>
    <x v="0"/>
    <x v="10"/>
    <s v="Cust_490"/>
    <x v="14"/>
    <n v="0.09"/>
    <n v="29"/>
    <n v="-177.17"/>
    <n v="8.3699999999999992"/>
    <n v="0.57999999999999996"/>
  </r>
  <r>
    <x v="11"/>
    <x v="6"/>
    <s v="LOW"/>
    <s v="Prod_1"/>
    <x v="0"/>
    <x v="3"/>
    <s v="Cust_490"/>
    <x v="15"/>
    <n v="7.0000000000000007E-2"/>
    <n v="33"/>
    <n v="-971.36"/>
    <n v="35"/>
    <n v="0.83"/>
  </r>
  <r>
    <x v="12"/>
    <x v="7"/>
    <s v="HIGH"/>
    <s v="Prod_13"/>
    <x v="0"/>
    <x v="9"/>
    <s v="Cust_377"/>
    <x v="16"/>
    <n v="0.09"/>
    <n v="14"/>
    <n v="-9.19"/>
    <n v="1.3"/>
    <n v="0.59"/>
  </r>
  <r>
    <x v="12"/>
    <x v="7"/>
    <s v="HIGH"/>
    <s v="Prod_16"/>
    <x v="0"/>
    <x v="10"/>
    <s v="Cust_377"/>
    <x v="17"/>
    <n v="0.05"/>
    <n v="1"/>
    <n v="-11.02"/>
    <n v="8.3699999999999992"/>
    <n v="0.57999999999999996"/>
  </r>
  <r>
    <x v="13"/>
    <x v="8"/>
    <s v="HIGH"/>
    <s v="Prod_8"/>
    <x v="2"/>
    <x v="8"/>
    <s v="Cust_1143"/>
    <x v="18"/>
    <n v="7.0000000000000007E-2"/>
    <n v="27"/>
    <n v="812.38"/>
    <n v="19.989999999999998"/>
    <n v="0.48"/>
  </r>
  <r>
    <x v="13"/>
    <x v="8"/>
    <s v="HIGH"/>
    <s v="Prod_4"/>
    <x v="2"/>
    <x v="11"/>
    <s v="Cust_1143"/>
    <x v="19"/>
    <n v="0.03"/>
    <n v="25"/>
    <n v="553.36"/>
    <n v="5.92"/>
    <n v="0.57999999999999996"/>
  </r>
  <r>
    <x v="13"/>
    <x v="8"/>
    <s v="HIGH"/>
    <s v="Prod_5"/>
    <x v="1"/>
    <x v="2"/>
    <s v="Cust_1143"/>
    <x v="20"/>
    <n v="0.02"/>
    <n v="44"/>
    <n v="-237.6"/>
    <n v="39.61"/>
    <n v="0.67"/>
  </r>
  <r>
    <x v="13"/>
    <x v="8"/>
    <s v="HIGH"/>
    <s v="Prod_3"/>
    <x v="0"/>
    <x v="1"/>
    <s v="Cust_386"/>
    <x v="21"/>
    <n v="0.02"/>
    <n v="36"/>
    <n v="-17.45"/>
    <n v="9.73"/>
    <n v="0.36"/>
  </r>
  <r>
    <x v="14"/>
    <x v="9"/>
    <s v="LOW"/>
    <s v="Prod_15"/>
    <x v="1"/>
    <x v="7"/>
    <s v="Cust_375"/>
    <x v="22"/>
    <n v="0.01"/>
    <n v="15"/>
    <n v="-101.19"/>
    <n v="30"/>
    <n v="0.69"/>
  </r>
  <r>
    <x v="15"/>
    <x v="10"/>
    <s v="LOW"/>
    <s v="Prod_5"/>
    <x v="1"/>
    <x v="2"/>
    <s v="Cust_467"/>
    <x v="23"/>
    <n v="0.1"/>
    <n v="34"/>
    <n v="-133.06"/>
    <n v="5.33"/>
    <n v="0.43"/>
  </r>
  <r>
    <x v="16"/>
    <x v="11"/>
    <s v="LOW"/>
    <s v="Prod_7"/>
    <x v="0"/>
    <x v="5"/>
    <s v="Cust_471"/>
    <x v="24"/>
    <n v="0.1"/>
    <n v="1"/>
    <n v="-2.34"/>
    <n v="2"/>
    <n v="0.53"/>
  </r>
  <r>
    <x v="17"/>
    <x v="11"/>
    <s v="MEDIUM"/>
    <s v="Prod_7"/>
    <x v="0"/>
    <x v="5"/>
    <s v="Cust_540"/>
    <x v="25"/>
    <n v="0.04"/>
    <n v="36"/>
    <n v="0.37"/>
    <n v="0.79"/>
    <n v="0.5"/>
  </r>
  <r>
    <x v="18"/>
    <x v="12"/>
    <s v="CRITICAL"/>
    <s v="Prod_4"/>
    <x v="2"/>
    <x v="11"/>
    <s v="Cust_411"/>
    <x v="26"/>
    <n v="0.03"/>
    <n v="45"/>
    <n v="592.22"/>
    <n v="3.3"/>
    <n v="0.39"/>
  </r>
  <r>
    <x v="19"/>
    <x v="12"/>
    <s v="HIGH"/>
    <s v="Prod_3"/>
    <x v="0"/>
    <x v="1"/>
    <s v="Cust_428"/>
    <x v="27"/>
    <n v="7.0000000000000007E-2"/>
    <n v="30"/>
    <n v="4456.25"/>
    <n v="19.989999999999998"/>
    <n v="0.38"/>
  </r>
  <r>
    <x v="20"/>
    <x v="12"/>
    <s v="MEDIUM"/>
    <s v="Prod_5"/>
    <x v="1"/>
    <x v="2"/>
    <s v="Cust_438"/>
    <x v="28"/>
    <n v="0.1"/>
    <n v="32"/>
    <n v="-45.99"/>
    <n v="6.22"/>
    <n v="0.55000000000000004"/>
  </r>
  <r>
    <x v="20"/>
    <x v="12"/>
    <s v="MEDIUM"/>
    <s v="Prod_6"/>
    <x v="0"/>
    <x v="0"/>
    <s v="Cust_438"/>
    <x v="29"/>
    <n v="0.04"/>
    <n v="36"/>
    <n v="-150.74"/>
    <n v="7.44"/>
    <n v="0.36"/>
  </r>
  <r>
    <x v="21"/>
    <x v="12"/>
    <s v="HIGH"/>
    <s v="Prod_6"/>
    <x v="0"/>
    <x v="0"/>
    <s v="Cust_515"/>
    <x v="30"/>
    <n v="0.04"/>
    <n v="20"/>
    <n v="84.3"/>
    <n v="5.86"/>
    <n v="0.38"/>
  </r>
  <r>
    <x v="22"/>
    <x v="13"/>
    <s v="NOT SPECIFIED"/>
    <s v="Prod_3"/>
    <x v="0"/>
    <x v="1"/>
    <s v="Cust_454"/>
    <x v="31"/>
    <n v="0.02"/>
    <n v="32"/>
    <n v="-28.68"/>
    <n v="10.130000000000001"/>
    <n v="0.38"/>
  </r>
  <r>
    <x v="22"/>
    <x v="13"/>
    <s v="NOT SPECIFIED"/>
    <s v="Prod_5"/>
    <x v="1"/>
    <x v="2"/>
    <s v="Cust_454"/>
    <x v="32"/>
    <n v="0"/>
    <n v="4"/>
    <n v="14.19"/>
    <n v="5.21"/>
    <n v="0.56000000000000005"/>
  </r>
  <r>
    <x v="23"/>
    <x v="13"/>
    <s v="MEDIUM"/>
    <s v="Prod_16"/>
    <x v="0"/>
    <x v="10"/>
    <s v="Cust_513"/>
    <x v="33"/>
    <n v="0.05"/>
    <n v="46"/>
    <n v="-25.88"/>
    <n v="4.68"/>
    <n v="0.59"/>
  </r>
  <r>
    <x v="23"/>
    <x v="13"/>
    <s v="MEDIUM"/>
    <s v="Prod_2"/>
    <x v="0"/>
    <x v="12"/>
    <s v="Cust_513"/>
    <x v="34"/>
    <n v="7.0000000000000007E-2"/>
    <n v="14"/>
    <n v="-616.80999999999995"/>
    <n v="49"/>
    <n v="0.59"/>
  </r>
  <r>
    <x v="23"/>
    <x v="13"/>
    <s v="MEDIUM"/>
    <s v="Prod_3"/>
    <x v="0"/>
    <x v="1"/>
    <s v="Cust_513"/>
    <x v="35"/>
    <n v="7.0000000000000007E-2"/>
    <n v="4"/>
    <n v="-1.99"/>
    <n v="1.49"/>
    <n v="0.39"/>
  </r>
  <r>
    <x v="24"/>
    <x v="14"/>
    <s v="NOT SPECIFIED"/>
    <s v="Prod_8"/>
    <x v="2"/>
    <x v="8"/>
    <s v="Cust_401"/>
    <x v="36"/>
    <n v="0.1"/>
    <n v="32"/>
    <n v="-127.23"/>
    <n v="5.89"/>
    <n v="0.75"/>
  </r>
  <r>
    <x v="25"/>
    <x v="15"/>
    <s v="HIGH"/>
    <s v="Prod_6"/>
    <x v="0"/>
    <x v="0"/>
    <s v="Cust_412"/>
    <x v="37"/>
    <n v="0.02"/>
    <n v="23"/>
    <n v="38.11"/>
    <n v="9.0299999999999994"/>
    <n v="0.37"/>
  </r>
  <r>
    <x v="26"/>
    <x v="15"/>
    <s v="CRITICAL"/>
    <s v="Prod_1"/>
    <x v="0"/>
    <x v="3"/>
    <s v="Cust_416"/>
    <x v="38"/>
    <n v="0.06"/>
    <n v="9"/>
    <n v="-7.58"/>
    <n v="19.989999999999998"/>
    <n v="0.66"/>
  </r>
  <r>
    <x v="27"/>
    <x v="16"/>
    <s v="NOT SPECIFIED"/>
    <s v="Prod_17"/>
    <x v="2"/>
    <x v="13"/>
    <s v="Cust_71"/>
    <x v="39"/>
    <n v="0.03"/>
    <n v="24"/>
    <n v="1951.3"/>
    <n v="15.59"/>
    <n v="0.36"/>
  </r>
  <r>
    <x v="28"/>
    <x v="17"/>
    <s v="NOT SPECIFIED"/>
    <s v="Prod_8"/>
    <x v="2"/>
    <x v="8"/>
    <s v="Cust_444"/>
    <x v="40"/>
    <n v="0.02"/>
    <n v="24"/>
    <n v="-42.05"/>
    <n v="2.39"/>
    <n v="0.72"/>
  </r>
  <r>
    <x v="28"/>
    <x v="17"/>
    <s v="NOT SPECIFIED"/>
    <s v="Prod_16"/>
    <x v="0"/>
    <x v="10"/>
    <s v="Cust_444"/>
    <x v="41"/>
    <n v="0.1"/>
    <n v="45"/>
    <n v="28.39"/>
    <n v="3.37"/>
    <n v="0.56999999999999995"/>
  </r>
  <r>
    <x v="29"/>
    <x v="18"/>
    <s v="LOW"/>
    <s v="Prod_6"/>
    <x v="0"/>
    <x v="0"/>
    <s v="Cust_488"/>
    <x v="42"/>
    <n v="0.06"/>
    <n v="13"/>
    <n v="22.8"/>
    <n v="1.34"/>
    <n v="0.36"/>
  </r>
  <r>
    <x v="30"/>
    <x v="18"/>
    <s v="LOW"/>
    <s v="Prod_3"/>
    <x v="0"/>
    <x v="1"/>
    <s v="Cust_513"/>
    <x v="43"/>
    <n v="7.0000000000000007E-2"/>
    <n v="16"/>
    <n v="107.38"/>
    <n v="6.27"/>
    <n v="0.37"/>
  </r>
  <r>
    <x v="31"/>
    <x v="19"/>
    <s v="NOT SPECIFIED"/>
    <s v="Prod_11"/>
    <x v="1"/>
    <x v="14"/>
    <s v="Cust_384"/>
    <x v="44"/>
    <n v="0.1"/>
    <n v="36"/>
    <n v="-760.98"/>
    <n v="61.76"/>
    <n v="0.78"/>
  </r>
  <r>
    <x v="31"/>
    <x v="19"/>
    <s v="NOT SPECIFIED"/>
    <s v="Prod_9"/>
    <x v="0"/>
    <x v="6"/>
    <s v="Cust_384"/>
    <x v="45"/>
    <n v="0.04"/>
    <n v="36"/>
    <n v="-12.82"/>
    <n v="6.97"/>
    <n v="0.35"/>
  </r>
  <r>
    <x v="32"/>
    <x v="19"/>
    <s v="MEDIUM"/>
    <s v="Prod_12"/>
    <x v="0"/>
    <x v="15"/>
    <s v="Cust_527"/>
    <x v="46"/>
    <n v="0.02"/>
    <n v="22"/>
    <n v="15.84"/>
    <n v="0.99"/>
    <n v="0.36"/>
  </r>
  <r>
    <x v="32"/>
    <x v="19"/>
    <s v="MEDIUM"/>
    <s v="Prod_8"/>
    <x v="2"/>
    <x v="8"/>
    <s v="Cust_803"/>
    <x v="47"/>
    <n v="0.03"/>
    <n v="50"/>
    <n v="433.59"/>
    <n v="1.99"/>
    <n v="0.43"/>
  </r>
  <r>
    <x v="33"/>
    <x v="20"/>
    <s v="CRITICAL"/>
    <s v="Prod_9"/>
    <x v="0"/>
    <x v="6"/>
    <s v="Cust_376"/>
    <x v="48"/>
    <n v="0.02"/>
    <n v="8"/>
    <n v="9.2899999999999991"/>
    <n v="1.39"/>
    <n v="0.38"/>
  </r>
  <r>
    <x v="33"/>
    <x v="20"/>
    <s v="CRITICAL"/>
    <s v="Prod_11"/>
    <x v="1"/>
    <x v="14"/>
    <s v="Cust_376"/>
    <x v="49"/>
    <n v="0"/>
    <n v="6"/>
    <n v="-237.62"/>
    <n v="84.84"/>
    <n v="0.66"/>
  </r>
  <r>
    <x v="34"/>
    <x v="21"/>
    <s v="LOW"/>
    <s v="Prod_8"/>
    <x v="2"/>
    <x v="8"/>
    <s v="Cust_383"/>
    <x v="50"/>
    <n v="0.09"/>
    <n v="19"/>
    <n v="-100.49"/>
    <n v="5.53"/>
    <n v="0.69"/>
  </r>
  <r>
    <x v="35"/>
    <x v="22"/>
    <s v="NOT SPECIFIED"/>
    <s v="Prod_15"/>
    <x v="1"/>
    <x v="7"/>
    <s v="Cust_74"/>
    <x v="51"/>
    <n v="0.09"/>
    <n v="30"/>
    <n v="1240.25"/>
    <n v="58.92"/>
    <n v="0.64"/>
  </r>
  <r>
    <x v="35"/>
    <x v="22"/>
    <s v="NOT SPECIFIED"/>
    <s v="Prod_11"/>
    <x v="1"/>
    <x v="14"/>
    <s v="Cust_74"/>
    <x v="52"/>
    <n v="0.04"/>
    <n v="8"/>
    <n v="-533.23"/>
    <n v="69.64"/>
    <n v="0.77"/>
  </r>
  <r>
    <x v="36"/>
    <x v="23"/>
    <s v="MEDIUM"/>
    <s v="Prod_3"/>
    <x v="0"/>
    <x v="1"/>
    <s v="Cust_381"/>
    <x v="53"/>
    <n v="0.08"/>
    <n v="4"/>
    <n v="194.32"/>
    <n v="19.989999999999998"/>
    <n v="0.38"/>
  </r>
  <r>
    <x v="36"/>
    <x v="23"/>
    <s v="MEDIUM"/>
    <s v="Prod_8"/>
    <x v="2"/>
    <x v="8"/>
    <s v="Cust_381"/>
    <x v="54"/>
    <n v="0.06"/>
    <n v="13"/>
    <n v="206.86"/>
    <n v="7.18"/>
    <n v="0.46"/>
  </r>
  <r>
    <x v="37"/>
    <x v="24"/>
    <s v="MEDIUM"/>
    <s v="Prod_7"/>
    <x v="0"/>
    <x v="5"/>
    <s v="Cust_393"/>
    <x v="55"/>
    <n v="0.1"/>
    <n v="38"/>
    <n v="-21.89"/>
    <n v="0.7"/>
    <n v="0.83"/>
  </r>
  <r>
    <x v="38"/>
    <x v="25"/>
    <s v="CRITICAL"/>
    <s v="Prod_1"/>
    <x v="0"/>
    <x v="3"/>
    <s v="Cust_374"/>
    <x v="56"/>
    <n v="0.03"/>
    <n v="22"/>
    <n v="1.98"/>
    <n v="12.9"/>
    <n v="0.56999999999999995"/>
  </r>
  <r>
    <x v="39"/>
    <x v="26"/>
    <s v="NOT SPECIFIED"/>
    <s v="Prod_5"/>
    <x v="1"/>
    <x v="2"/>
    <s v="Cust_384"/>
    <x v="57"/>
    <n v="0.1"/>
    <n v="29"/>
    <n v="147.46"/>
    <n v="3.73"/>
    <n v="0.46"/>
  </r>
  <r>
    <x v="40"/>
    <x v="27"/>
    <s v="CRITICAL"/>
    <s v="Prod_6"/>
    <x v="0"/>
    <x v="0"/>
    <s v="Cust_444"/>
    <x v="58"/>
    <n v="0.03"/>
    <n v="15"/>
    <n v="-41.58"/>
    <n v="5.66"/>
    <n v="0.4"/>
  </r>
  <r>
    <x v="40"/>
    <x v="27"/>
    <s v="CRITICAL"/>
    <s v="Prod_4"/>
    <x v="2"/>
    <x v="11"/>
    <s v="Cust_444"/>
    <x v="59"/>
    <n v="0.01"/>
    <n v="8"/>
    <n v="-212.55"/>
    <n v="2.5"/>
    <n v="0.56999999999999995"/>
  </r>
  <r>
    <x v="41"/>
    <x v="28"/>
    <s v="HIGH"/>
    <s v="Prod_8"/>
    <x v="2"/>
    <x v="8"/>
    <s v="Cust_80"/>
    <x v="60"/>
    <n v="0.08"/>
    <n v="7"/>
    <n v="-59.2"/>
    <n v="1.99"/>
    <n v="0.54"/>
  </r>
  <r>
    <x v="41"/>
    <x v="28"/>
    <s v="HIGH"/>
    <s v="Prod_6"/>
    <x v="0"/>
    <x v="0"/>
    <s v="Cust_80"/>
    <x v="61"/>
    <n v="0.04"/>
    <n v="15"/>
    <n v="108.01"/>
    <n v="13.26"/>
    <n v="0.36"/>
  </r>
  <r>
    <x v="42"/>
    <x v="29"/>
    <s v="CRITICAL"/>
    <s v="Prod_17"/>
    <x v="2"/>
    <x v="13"/>
    <s v="Cust_404"/>
    <x v="62"/>
    <n v="7.0000000000000007E-2"/>
    <n v="1"/>
    <n v="-3461.12"/>
    <n v="29.7"/>
    <n v="0.56999999999999995"/>
  </r>
  <r>
    <x v="43"/>
    <x v="29"/>
    <s v="NOT SPECIFIED"/>
    <s v="Prod_15"/>
    <x v="1"/>
    <x v="7"/>
    <s v="Cust_498"/>
    <x v="63"/>
    <n v="0.09"/>
    <n v="18"/>
    <n v="-231.6"/>
    <n v="57.2"/>
    <n v="0.59"/>
  </r>
  <r>
    <x v="43"/>
    <x v="29"/>
    <s v="NOT SPECIFIED"/>
    <s v="Prod_1"/>
    <x v="0"/>
    <x v="3"/>
    <s v="Cust_498"/>
    <x v="64"/>
    <n v="0.02"/>
    <n v="39"/>
    <n v="-1119.6400000000001"/>
    <n v="35"/>
    <n v="0.8"/>
  </r>
  <r>
    <x v="44"/>
    <x v="30"/>
    <s v="CRITICAL"/>
    <s v="Prod_9"/>
    <x v="0"/>
    <x v="6"/>
    <s v="Cust_376"/>
    <x v="65"/>
    <n v="0.01"/>
    <n v="42"/>
    <n v="149.44999999999999"/>
    <n v="1.39"/>
    <n v="0.38"/>
  </r>
  <r>
    <x v="45"/>
    <x v="30"/>
    <s v="MEDIUM"/>
    <s v="Prod_1"/>
    <x v="0"/>
    <x v="3"/>
    <s v="Cust_448"/>
    <x v="66"/>
    <n v="0.08"/>
    <n v="15"/>
    <n v="-98.23"/>
    <n v="9.4499999999999993"/>
    <n v="0.6"/>
  </r>
  <r>
    <x v="46"/>
    <x v="30"/>
    <s v="LOW"/>
    <s v="Prod_6"/>
    <x v="0"/>
    <x v="0"/>
    <s v="Cust_490"/>
    <x v="67"/>
    <n v="0.04"/>
    <n v="16"/>
    <n v="-72.81"/>
    <n v="8.4"/>
    <n v="0.37"/>
  </r>
  <r>
    <x v="46"/>
    <x v="30"/>
    <s v="LOW"/>
    <s v="Prod_16"/>
    <x v="0"/>
    <x v="10"/>
    <s v="Cust_490"/>
    <x v="68"/>
    <n v="0.1"/>
    <n v="22"/>
    <n v="-82.54"/>
    <n v="6.14"/>
    <n v="0.59"/>
  </r>
  <r>
    <x v="46"/>
    <x v="30"/>
    <s v="LOW"/>
    <s v="Prod_8"/>
    <x v="2"/>
    <x v="8"/>
    <s v="Cust_490"/>
    <x v="69"/>
    <n v="0.04"/>
    <n v="17"/>
    <n v="-23.69"/>
    <n v="1.99"/>
    <n v="0.51"/>
  </r>
  <r>
    <x v="47"/>
    <x v="31"/>
    <s v="MEDIUM"/>
    <s v="Prod_4"/>
    <x v="2"/>
    <x v="11"/>
    <s v="Cust_503"/>
    <x v="70"/>
    <n v="0.03"/>
    <n v="23"/>
    <n v="417.47"/>
    <n v="7.69"/>
    <n v="0.57999999999999996"/>
  </r>
  <r>
    <x v="48"/>
    <x v="32"/>
    <s v="HIGH"/>
    <s v="Prod_10"/>
    <x v="1"/>
    <x v="4"/>
    <s v="Cust_411"/>
    <x v="71"/>
    <n v="0.09"/>
    <n v="8"/>
    <n v="-407.85"/>
    <n v="66.27"/>
    <n v="0.65"/>
  </r>
  <r>
    <x v="49"/>
    <x v="32"/>
    <s v="HIGH"/>
    <s v="Prod_13"/>
    <x v="0"/>
    <x v="9"/>
    <s v="Cust_422"/>
    <x v="72"/>
    <n v="0.04"/>
    <n v="39"/>
    <n v="29.76"/>
    <n v="0.81"/>
    <n v="0.4"/>
  </r>
  <r>
    <x v="50"/>
    <x v="32"/>
    <s v="HIGH"/>
    <s v="Prod_5"/>
    <x v="1"/>
    <x v="2"/>
    <s v="Cust_467"/>
    <x v="73"/>
    <n v="0.02"/>
    <n v="47"/>
    <n v="1708.84"/>
    <n v="5.81"/>
    <n v="0.65"/>
  </r>
  <r>
    <x v="51"/>
    <x v="32"/>
    <s v="MEDIUM"/>
    <s v="Prod_13"/>
    <x v="0"/>
    <x v="9"/>
    <s v="Cust_86"/>
    <x v="74"/>
    <n v="0.02"/>
    <n v="32"/>
    <n v="-30.54"/>
    <n v="1.57"/>
    <n v="0.59"/>
  </r>
  <r>
    <x v="51"/>
    <x v="32"/>
    <s v="MEDIUM"/>
    <s v="Prod_13"/>
    <x v="0"/>
    <x v="9"/>
    <s v="Cust_86"/>
    <x v="75"/>
    <n v="0.1"/>
    <n v="47"/>
    <n v="23.82"/>
    <n v="2.35"/>
    <n v="0.47"/>
  </r>
  <r>
    <x v="52"/>
    <x v="33"/>
    <s v="NOT SPECIFIED"/>
    <s v="Prod_3"/>
    <x v="0"/>
    <x v="1"/>
    <s v="Cust_410"/>
    <x v="76"/>
    <n v="7.0000000000000007E-2"/>
    <n v="37"/>
    <n v="-83.16"/>
    <n v="6.16"/>
    <n v="0.35"/>
  </r>
  <r>
    <x v="53"/>
    <x v="34"/>
    <s v="LOW"/>
    <s v="Prod_6"/>
    <x v="0"/>
    <x v="0"/>
    <s v="Cust_500"/>
    <x v="77"/>
    <n v="0.03"/>
    <n v="48"/>
    <n v="254.58"/>
    <n v="5.97"/>
    <n v="0.38"/>
  </r>
  <r>
    <x v="54"/>
    <x v="35"/>
    <s v="NOT SPECIFIED"/>
    <s v="Prod_5"/>
    <x v="1"/>
    <x v="2"/>
    <s v="Cust_568"/>
    <x v="78"/>
    <n v="0.03"/>
    <n v="32"/>
    <n v="2033.5"/>
    <n v="8.99"/>
    <n v="0.35"/>
  </r>
  <r>
    <x v="55"/>
    <x v="36"/>
    <s v="HIGH"/>
    <s v="Prod_6"/>
    <x v="0"/>
    <x v="0"/>
    <s v="Cust_398"/>
    <x v="79"/>
    <n v="0"/>
    <n v="27"/>
    <n v="-101.85"/>
    <n v="7.86"/>
    <n v="0.37"/>
  </r>
  <r>
    <x v="56"/>
    <x v="37"/>
    <s v="MEDIUM"/>
    <s v="Prod_3"/>
    <x v="0"/>
    <x v="1"/>
    <s v="Cust_373"/>
    <x v="80"/>
    <n v="0.06"/>
    <n v="13"/>
    <n v="-1.84"/>
    <n v="2.99"/>
    <n v="0.37"/>
  </r>
  <r>
    <x v="56"/>
    <x v="37"/>
    <s v="MEDIUM"/>
    <s v="Prod_4"/>
    <x v="2"/>
    <x v="11"/>
    <s v="Cust_373"/>
    <x v="81"/>
    <n v="0.09"/>
    <n v="35"/>
    <n v="708.76"/>
    <n v="8.99"/>
    <n v="0.59"/>
  </r>
  <r>
    <x v="56"/>
    <x v="37"/>
    <s v="MEDIUM"/>
    <s v="Prod_8"/>
    <x v="2"/>
    <x v="8"/>
    <s v="Cust_373"/>
    <x v="82"/>
    <n v="0.05"/>
    <n v="31"/>
    <n v="-26.49"/>
    <n v="7.12"/>
    <n v="0.67"/>
  </r>
  <r>
    <x v="57"/>
    <x v="38"/>
    <s v="HIGH"/>
    <s v="Prod_2"/>
    <x v="0"/>
    <x v="12"/>
    <s v="Cust_428"/>
    <x v="83"/>
    <n v="0.02"/>
    <n v="3"/>
    <n v="-248.69"/>
    <n v="19.989999999999998"/>
    <n v="0.56000000000000005"/>
  </r>
  <r>
    <x v="57"/>
    <x v="38"/>
    <s v="HIGH"/>
    <s v="Prod_14"/>
    <x v="2"/>
    <x v="16"/>
    <s v="Cust_428"/>
    <x v="84"/>
    <n v="0.02"/>
    <n v="5"/>
    <n v="-571.24"/>
    <n v="24.49"/>
    <n v="0.52"/>
  </r>
  <r>
    <x v="57"/>
    <x v="38"/>
    <s v="HIGH"/>
    <s v="Prod_1"/>
    <x v="0"/>
    <x v="3"/>
    <s v="Cust_428"/>
    <x v="85"/>
    <n v="0.03"/>
    <n v="48"/>
    <n v="44.58"/>
    <n v="19.989999999999998"/>
    <n v="0.79"/>
  </r>
  <r>
    <x v="58"/>
    <x v="38"/>
    <s v="CRITICAL"/>
    <s v="Prod_3"/>
    <x v="0"/>
    <x v="1"/>
    <s v="Cust_514"/>
    <x v="86"/>
    <n v="0.03"/>
    <n v="38"/>
    <n v="-188.13"/>
    <n v="7.78"/>
    <n v="0.37"/>
  </r>
  <r>
    <x v="59"/>
    <x v="39"/>
    <s v="MEDIUM"/>
    <s v="Prod_7"/>
    <x v="0"/>
    <x v="5"/>
    <s v="Cust_412"/>
    <x v="87"/>
    <n v="0.09"/>
    <n v="32"/>
    <n v="7.95"/>
    <n v="0.78"/>
    <n v="0.52"/>
  </r>
  <r>
    <x v="59"/>
    <x v="39"/>
    <s v="MEDIUM"/>
    <s v="Prod_4"/>
    <x v="2"/>
    <x v="11"/>
    <s v="Cust_412"/>
    <x v="88"/>
    <n v="0.08"/>
    <n v="46"/>
    <n v="1077.92"/>
    <n v="8.8000000000000007"/>
    <n v="0.59"/>
  </r>
  <r>
    <x v="60"/>
    <x v="39"/>
    <s v="MEDIUM"/>
    <s v="Prod_8"/>
    <x v="2"/>
    <x v="8"/>
    <s v="Cust_422"/>
    <x v="89"/>
    <n v="7.0000000000000007E-2"/>
    <n v="40"/>
    <n v="-51.42"/>
    <n v="1.99"/>
    <n v="0.51"/>
  </r>
  <r>
    <x v="61"/>
    <x v="40"/>
    <s v="CRITICAL"/>
    <s v="Prod_15"/>
    <x v="1"/>
    <x v="7"/>
    <s v="Cust_387"/>
    <x v="90"/>
    <n v="0.04"/>
    <n v="43"/>
    <n v="-3404.24"/>
    <n v="130"/>
    <n v="0.78"/>
  </r>
  <r>
    <x v="62"/>
    <x v="40"/>
    <s v="MEDIUM"/>
    <s v="Prod_15"/>
    <x v="1"/>
    <x v="7"/>
    <s v="Cust_501"/>
    <x v="91"/>
    <n v="0.08"/>
    <n v="50"/>
    <n v="1902.99"/>
    <n v="43.32"/>
    <n v="0.55000000000000004"/>
  </r>
  <r>
    <x v="62"/>
    <x v="40"/>
    <s v="MEDIUM"/>
    <s v="Prod_8"/>
    <x v="2"/>
    <x v="8"/>
    <s v="Cust_501"/>
    <x v="92"/>
    <n v="0.1"/>
    <n v="15"/>
    <n v="-70.31"/>
    <n v="4.93"/>
    <n v="0.66"/>
  </r>
  <r>
    <x v="62"/>
    <x v="40"/>
    <s v="MEDIUM"/>
    <s v="Prod_6"/>
    <x v="0"/>
    <x v="0"/>
    <s v="Cust_501"/>
    <x v="93"/>
    <n v="7.0000000000000007E-2"/>
    <n v="2"/>
    <n v="-4.72"/>
    <n v="0.8"/>
    <n v="0.36"/>
  </r>
  <r>
    <x v="63"/>
    <x v="41"/>
    <s v="NOT SPECIFIED"/>
    <s v="Prod_3"/>
    <x v="0"/>
    <x v="1"/>
    <s v="Cust_391"/>
    <x v="94"/>
    <n v="7.0000000000000007E-2"/>
    <n v="21"/>
    <n v="-51.72"/>
    <n v="10.91"/>
    <n v="0.36"/>
  </r>
  <r>
    <x v="64"/>
    <x v="42"/>
    <s v="MEDIUM"/>
    <s v="Prod_5"/>
    <x v="1"/>
    <x v="2"/>
    <s v="Cust_558"/>
    <x v="95"/>
    <n v="0.04"/>
    <n v="21"/>
    <n v="5.5"/>
    <n v="6.02"/>
    <n v="0.48"/>
  </r>
  <r>
    <x v="65"/>
    <x v="43"/>
    <s v="MEDIUM"/>
    <s v="Prod_3"/>
    <x v="0"/>
    <x v="1"/>
    <s v="Cust_500"/>
    <x v="96"/>
    <n v="0.08"/>
    <n v="39"/>
    <n v="-21.9"/>
    <n v="12.98"/>
    <n v="0.39"/>
  </r>
  <r>
    <x v="66"/>
    <x v="43"/>
    <s v="LOW"/>
    <s v="Prod_3"/>
    <x v="0"/>
    <x v="1"/>
    <s v="Cust_554"/>
    <x v="97"/>
    <n v="0"/>
    <n v="18"/>
    <n v="-51.2"/>
    <n v="5.68"/>
    <n v="0.36"/>
  </r>
  <r>
    <x v="66"/>
    <x v="43"/>
    <s v="LOW"/>
    <s v="Prod_5"/>
    <x v="1"/>
    <x v="2"/>
    <s v="Cust_554"/>
    <x v="98"/>
    <n v="0.04"/>
    <n v="49"/>
    <n v="-362.11"/>
    <n v="12.52"/>
    <n v="0.56999999999999995"/>
  </r>
  <r>
    <x v="66"/>
    <x v="43"/>
    <s v="LOW"/>
    <s v="Prod_5"/>
    <x v="1"/>
    <x v="2"/>
    <s v="Cust_554"/>
    <x v="99"/>
    <n v="0.1"/>
    <n v="27"/>
    <n v="153.5"/>
    <n v="7.87"/>
    <n v="0.54"/>
  </r>
  <r>
    <x v="67"/>
    <x v="44"/>
    <s v="NOT SPECIFIED"/>
    <s v="Prod_3"/>
    <x v="0"/>
    <x v="1"/>
    <s v="Cust_10"/>
    <x v="100"/>
    <n v="0.02"/>
    <n v="15"/>
    <n v="-4.72"/>
    <n v="2.99"/>
    <n v="0.37"/>
  </r>
  <r>
    <x v="68"/>
    <x v="44"/>
    <s v="LOW"/>
    <s v="Prod_3"/>
    <x v="0"/>
    <x v="1"/>
    <s v="Cust_508"/>
    <x v="101"/>
    <n v="0.06"/>
    <n v="20"/>
    <n v="39.5"/>
    <n v="2.99"/>
    <n v="0.39"/>
  </r>
  <r>
    <x v="68"/>
    <x v="44"/>
    <s v="LOW"/>
    <s v="Prod_1"/>
    <x v="0"/>
    <x v="3"/>
    <s v="Cust_508"/>
    <x v="102"/>
    <n v="0.03"/>
    <n v="34"/>
    <n v="212.2"/>
    <n v="8.2200000000000006"/>
    <n v="0.56999999999999995"/>
  </r>
  <r>
    <x v="69"/>
    <x v="44"/>
    <s v="HIGH"/>
    <s v="Prod_8"/>
    <x v="2"/>
    <x v="8"/>
    <s v="Cust_51"/>
    <x v="103"/>
    <n v="0"/>
    <n v="1"/>
    <n v="-35.340000000000003"/>
    <n v="1.99"/>
    <n v="0.49"/>
  </r>
  <r>
    <x v="69"/>
    <x v="44"/>
    <s v="HIGH"/>
    <s v="Prod_6"/>
    <x v="0"/>
    <x v="0"/>
    <s v="Cust_51"/>
    <x v="104"/>
    <n v="0.01"/>
    <n v="2"/>
    <n v="-8.15"/>
    <n v="4.8600000000000003"/>
    <n v="0.38"/>
  </r>
  <r>
    <x v="69"/>
    <x v="44"/>
    <s v="HIGH"/>
    <s v="Prod_8"/>
    <x v="2"/>
    <x v="8"/>
    <s v="Cust_51"/>
    <x v="105"/>
    <n v="0.04"/>
    <n v="27"/>
    <n v="399.93"/>
    <n v="19.989999999999998"/>
    <n v="0.5"/>
  </r>
  <r>
    <x v="70"/>
    <x v="45"/>
    <s v="MEDIUM"/>
    <s v="Prod_1"/>
    <x v="0"/>
    <x v="3"/>
    <s v="Cust_421"/>
    <x v="106"/>
    <n v="0.08"/>
    <n v="37"/>
    <n v="189.77"/>
    <n v="6.88"/>
    <n v="0.73"/>
  </r>
  <r>
    <x v="71"/>
    <x v="45"/>
    <s v="MEDIUM"/>
    <s v="Prod_3"/>
    <x v="0"/>
    <x v="1"/>
    <s v="Cust_478"/>
    <x v="107"/>
    <n v="0.02"/>
    <n v="17"/>
    <n v="-72.06"/>
    <n v="6.98"/>
    <n v="0.39"/>
  </r>
  <r>
    <x v="71"/>
    <x v="45"/>
    <s v="MEDIUM"/>
    <s v="Prod_5"/>
    <x v="1"/>
    <x v="2"/>
    <s v="Cust_478"/>
    <x v="108"/>
    <n v="0.09"/>
    <n v="4"/>
    <n v="10.199999999999999"/>
    <n v="34.200000000000003"/>
    <n v="0.73"/>
  </r>
  <r>
    <x v="71"/>
    <x v="45"/>
    <s v="MEDIUM"/>
    <s v="Prod_5"/>
    <x v="1"/>
    <x v="2"/>
    <s v="Cust_478"/>
    <x v="109"/>
    <n v="0.03"/>
    <n v="15"/>
    <n v="91.08"/>
    <n v="6.38"/>
    <n v="0.56000000000000005"/>
  </r>
  <r>
    <x v="72"/>
    <x v="46"/>
    <s v="NOT SPECIFIED"/>
    <s v="Prod_3"/>
    <x v="0"/>
    <x v="1"/>
    <s v="Cust_417"/>
    <x v="110"/>
    <n v="0"/>
    <n v="9"/>
    <n v="-17.79"/>
    <n v="4.97"/>
    <n v="0.35"/>
  </r>
  <r>
    <x v="73"/>
    <x v="47"/>
    <s v="CRITICAL"/>
    <s v="Prod_8"/>
    <x v="2"/>
    <x v="8"/>
    <s v="Cust_427"/>
    <x v="111"/>
    <n v="0"/>
    <n v="5"/>
    <n v="-15.3"/>
    <n v="1.99"/>
    <n v="0.43"/>
  </r>
  <r>
    <x v="73"/>
    <x v="47"/>
    <s v="CRITICAL"/>
    <s v="Prod_13"/>
    <x v="0"/>
    <x v="9"/>
    <s v="Cust_427"/>
    <x v="112"/>
    <n v="7.0000000000000007E-2"/>
    <n v="40"/>
    <n v="230.69"/>
    <n v="4.08"/>
    <n v="0.56999999999999995"/>
  </r>
  <r>
    <x v="74"/>
    <x v="47"/>
    <s v="HIGH"/>
    <s v="Prod_3"/>
    <x v="0"/>
    <x v="1"/>
    <s v="Cust_436"/>
    <x v="113"/>
    <n v="0"/>
    <n v="5"/>
    <n v="-0.94"/>
    <n v="2.99"/>
    <n v="0.35"/>
  </r>
  <r>
    <x v="74"/>
    <x v="47"/>
    <s v="HIGH"/>
    <s v="Prod_5"/>
    <x v="1"/>
    <x v="2"/>
    <s v="Cust_436"/>
    <x v="114"/>
    <n v="0.09"/>
    <n v="3"/>
    <n v="-1.42"/>
    <n v="5.33"/>
    <n v="0.43"/>
  </r>
  <r>
    <x v="75"/>
    <x v="47"/>
    <s v="HIGH"/>
    <s v="Prod_8"/>
    <x v="2"/>
    <x v="8"/>
    <s v="Cust_511"/>
    <x v="115"/>
    <n v="0.09"/>
    <n v="3"/>
    <n v="-322.95"/>
    <n v="19.989999999999998"/>
    <n v="0.52"/>
  </r>
  <r>
    <x v="75"/>
    <x v="47"/>
    <s v="HIGH"/>
    <s v="Prod_4"/>
    <x v="2"/>
    <x v="11"/>
    <s v="Cust_511"/>
    <x v="116"/>
    <n v="0.04"/>
    <n v="13"/>
    <n v="-1.63"/>
    <n v="5.26"/>
    <n v="0.56000000000000005"/>
  </r>
  <r>
    <x v="76"/>
    <x v="48"/>
    <s v="HIGH"/>
    <s v="Prod_6"/>
    <x v="0"/>
    <x v="0"/>
    <s v="Cust_468"/>
    <x v="117"/>
    <n v="0.06"/>
    <n v="33"/>
    <n v="54.62"/>
    <n v="0.88"/>
    <n v="0.39"/>
  </r>
  <r>
    <x v="77"/>
    <x v="48"/>
    <s v="CRITICAL"/>
    <s v="Prod_5"/>
    <x v="1"/>
    <x v="2"/>
    <s v="Cust_469"/>
    <x v="118"/>
    <n v="0.01"/>
    <n v="21"/>
    <n v="1162.76"/>
    <n v="11.54"/>
    <n v="0.59"/>
  </r>
  <r>
    <x v="77"/>
    <x v="48"/>
    <s v="CRITICAL"/>
    <s v="Prod_5"/>
    <x v="1"/>
    <x v="2"/>
    <s v="Cust_469"/>
    <x v="119"/>
    <n v="0.02"/>
    <n v="41"/>
    <n v="2593.14"/>
    <n v="21.21"/>
    <n v="0.59"/>
  </r>
  <r>
    <x v="77"/>
    <x v="48"/>
    <s v="CRITICAL"/>
    <s v="Prod_17"/>
    <x v="2"/>
    <x v="13"/>
    <s v="Cust_469"/>
    <x v="120"/>
    <n v="0"/>
    <n v="33"/>
    <n v="1054.93"/>
    <n v="17.850000000000001"/>
    <n v="0.56000000000000005"/>
  </r>
  <r>
    <x v="78"/>
    <x v="48"/>
    <s v="HIGH"/>
    <s v="Prod_5"/>
    <x v="1"/>
    <x v="2"/>
    <s v="Cust_508"/>
    <x v="121"/>
    <n v="0.1"/>
    <n v="10"/>
    <n v="49.26"/>
    <n v="2.85"/>
    <n v="0.55000000000000004"/>
  </r>
  <r>
    <x v="79"/>
    <x v="49"/>
    <s v="NOT SPECIFIED"/>
    <s v="Prod_3"/>
    <x v="0"/>
    <x v="1"/>
    <s v="Cust_398"/>
    <x v="122"/>
    <n v="0.02"/>
    <n v="14"/>
    <n v="157.88999999999999"/>
    <n v="2.99"/>
    <n v="0.35"/>
  </r>
  <r>
    <x v="80"/>
    <x v="49"/>
    <s v="HIGH"/>
    <s v="Prod_6"/>
    <x v="0"/>
    <x v="0"/>
    <s v="Cust_451"/>
    <x v="123"/>
    <n v="0.08"/>
    <n v="17"/>
    <n v="-28.53"/>
    <n v="5.14"/>
    <n v="0.37"/>
  </r>
  <r>
    <x v="80"/>
    <x v="49"/>
    <s v="HIGH"/>
    <s v="Prod_1"/>
    <x v="0"/>
    <x v="3"/>
    <s v="Cust_451"/>
    <x v="124"/>
    <n v="0"/>
    <n v="43"/>
    <n v="287.74"/>
    <n v="8.2200000000000006"/>
    <n v="0.56999999999999995"/>
  </r>
  <r>
    <x v="81"/>
    <x v="49"/>
    <s v="NOT SPECIFIED"/>
    <s v="Prod_5"/>
    <x v="1"/>
    <x v="2"/>
    <s v="Cust_512"/>
    <x v="125"/>
    <n v="0.06"/>
    <n v="22"/>
    <n v="-59.12"/>
    <n v="3.97"/>
    <n v="0.57999999999999996"/>
  </r>
  <r>
    <x v="81"/>
    <x v="49"/>
    <s v="NOT SPECIFIED"/>
    <s v="Prod_11"/>
    <x v="1"/>
    <x v="14"/>
    <s v="Cust_694"/>
    <x v="126"/>
    <n v="0.04"/>
    <n v="40"/>
    <n v="-2595.65"/>
    <n v="69"/>
    <n v="0.68"/>
  </r>
  <r>
    <x v="82"/>
    <x v="50"/>
    <s v="MEDIUM"/>
    <s v="Prod_6"/>
    <x v="0"/>
    <x v="0"/>
    <s v="Cust_435"/>
    <x v="127"/>
    <n v="0.02"/>
    <n v="9"/>
    <n v="2.06"/>
    <n v="8.68"/>
    <n v="0.37"/>
  </r>
  <r>
    <x v="82"/>
    <x v="50"/>
    <s v="MEDIUM"/>
    <s v="Prod_8"/>
    <x v="2"/>
    <x v="8"/>
    <s v="Cust_435"/>
    <x v="128"/>
    <n v="0.02"/>
    <n v="5"/>
    <n v="-159.68"/>
    <n v="7.53"/>
    <n v="0.76"/>
  </r>
  <r>
    <x v="82"/>
    <x v="50"/>
    <s v="MEDIUM"/>
    <s v="Prod_5"/>
    <x v="1"/>
    <x v="2"/>
    <s v="Cust_435"/>
    <x v="129"/>
    <n v="0.01"/>
    <n v="9"/>
    <n v="27.91"/>
    <n v="11.17"/>
    <n v="0.6"/>
  </r>
  <r>
    <x v="82"/>
    <x v="50"/>
    <s v="MEDIUM"/>
    <s v="Prod_4"/>
    <x v="2"/>
    <x v="11"/>
    <s v="Cust_928"/>
    <x v="130"/>
    <n v="0.01"/>
    <n v="36"/>
    <n v="350.36"/>
    <n v="8.8000000000000007"/>
    <n v="0.57999999999999996"/>
  </r>
  <r>
    <x v="83"/>
    <x v="51"/>
    <s v="NOT SPECIFIED"/>
    <s v="Prod_3"/>
    <x v="0"/>
    <x v="1"/>
    <s v="Cust_526"/>
    <x v="131"/>
    <n v="0.05"/>
    <n v="43"/>
    <n v="-15.09"/>
    <n v="1.49"/>
    <n v="0.36"/>
  </r>
  <r>
    <x v="84"/>
    <x v="51"/>
    <s v="HIGH"/>
    <s v="Prod_3"/>
    <x v="0"/>
    <x v="1"/>
    <s v="Cust_562"/>
    <x v="132"/>
    <n v="0.1"/>
    <n v="26"/>
    <n v="-107.51"/>
    <n v="15.1"/>
    <n v="0.38"/>
  </r>
  <r>
    <x v="84"/>
    <x v="51"/>
    <s v="HIGH"/>
    <s v="Prod_5"/>
    <x v="1"/>
    <x v="2"/>
    <s v="Cust_562"/>
    <x v="133"/>
    <n v="0.04"/>
    <n v="18"/>
    <n v="46.01"/>
    <n v="2.83"/>
    <n v="0.37"/>
  </r>
  <r>
    <x v="85"/>
    <x v="52"/>
    <s v="LOW"/>
    <s v="Prod_2"/>
    <x v="0"/>
    <x v="12"/>
    <s v="Cust_519"/>
    <x v="134"/>
    <n v="0.04"/>
    <n v="47"/>
    <n v="1726.66"/>
    <n v="3.99"/>
    <n v="0.6"/>
  </r>
  <r>
    <x v="85"/>
    <x v="52"/>
    <s v="LOW"/>
    <s v="Prod_4"/>
    <x v="2"/>
    <x v="11"/>
    <s v="Cust_519"/>
    <x v="135"/>
    <n v="0.02"/>
    <n v="10"/>
    <n v="-222.82"/>
    <n v="5"/>
    <n v="0.83"/>
  </r>
  <r>
    <x v="85"/>
    <x v="52"/>
    <s v="LOW"/>
    <s v="Prod_5"/>
    <x v="1"/>
    <x v="2"/>
    <s v="Cust_519"/>
    <x v="136"/>
    <n v="0.05"/>
    <n v="32"/>
    <n v="-133.71"/>
    <n v="15.68"/>
    <n v="0.62"/>
  </r>
  <r>
    <x v="86"/>
    <x v="53"/>
    <s v="HIGH"/>
    <s v="Prod_8"/>
    <x v="2"/>
    <x v="8"/>
    <s v="Cust_397"/>
    <x v="137"/>
    <n v="0.03"/>
    <n v="15"/>
    <n v="71.040000000000006"/>
    <n v="1.99"/>
    <n v="0.43"/>
  </r>
  <r>
    <x v="87"/>
    <x v="53"/>
    <s v="MEDIUM"/>
    <s v="Prod_3"/>
    <x v="0"/>
    <x v="1"/>
    <s v="Cust_486"/>
    <x v="138"/>
    <n v="0.03"/>
    <n v="17"/>
    <n v="-76.02"/>
    <n v="6.27"/>
    <n v="0.4"/>
  </r>
  <r>
    <x v="87"/>
    <x v="53"/>
    <s v="MEDIUM"/>
    <s v="Prod_6"/>
    <x v="0"/>
    <x v="0"/>
    <s v="Cust_486"/>
    <x v="139"/>
    <n v="7.0000000000000007E-2"/>
    <n v="42"/>
    <n v="8.33"/>
    <n v="1.93"/>
    <n v="0.35"/>
  </r>
  <r>
    <x v="88"/>
    <x v="54"/>
    <s v="NOT SPECIFIED"/>
    <s v="Prod_16"/>
    <x v="0"/>
    <x v="10"/>
    <s v="Cust_421"/>
    <x v="140"/>
    <n v="0.02"/>
    <n v="46"/>
    <n v="-255.22"/>
    <n v="8.3699999999999992"/>
    <n v="0.57999999999999996"/>
  </r>
  <r>
    <x v="88"/>
    <x v="54"/>
    <s v="NOT SPECIFIED"/>
    <s v="Prod_3"/>
    <x v="0"/>
    <x v="1"/>
    <s v="Cust_421"/>
    <x v="141"/>
    <n v="0.02"/>
    <n v="10"/>
    <n v="8.27"/>
    <n v="1.49"/>
    <n v="0.35"/>
  </r>
  <r>
    <x v="89"/>
    <x v="54"/>
    <s v="MEDIUM"/>
    <s v="Prod_12"/>
    <x v="0"/>
    <x v="15"/>
    <s v="Cust_451"/>
    <x v="142"/>
    <n v="0.02"/>
    <n v="3"/>
    <n v="-0.98"/>
    <n v="0.5"/>
    <n v="0.38"/>
  </r>
  <r>
    <x v="90"/>
    <x v="55"/>
    <s v="LOW"/>
    <s v="Prod_3"/>
    <x v="0"/>
    <x v="1"/>
    <s v="Cust_416"/>
    <x v="143"/>
    <n v="0.03"/>
    <n v="26"/>
    <n v="-105.72"/>
    <n v="7.72"/>
    <n v="0.38"/>
  </r>
  <r>
    <x v="90"/>
    <x v="55"/>
    <s v="LOW"/>
    <s v="Prod_5"/>
    <x v="1"/>
    <x v="2"/>
    <s v="Cust_416"/>
    <x v="144"/>
    <n v="0.02"/>
    <n v="38"/>
    <n v="-10.29"/>
    <n v="6.02"/>
    <n v="0.48"/>
  </r>
  <r>
    <x v="91"/>
    <x v="55"/>
    <s v="LOW"/>
    <s v="Prod_17"/>
    <x v="2"/>
    <x v="13"/>
    <s v="Cust_416"/>
    <x v="145"/>
    <n v="0.06"/>
    <n v="11"/>
    <n v="-292.64999999999998"/>
    <n v="56.14"/>
    <n v="0.4"/>
  </r>
  <r>
    <x v="91"/>
    <x v="55"/>
    <s v="LOW"/>
    <s v="Prod_1"/>
    <x v="0"/>
    <x v="3"/>
    <s v="Cust_416"/>
    <x v="146"/>
    <n v="0.09"/>
    <n v="46"/>
    <n v="-188.02"/>
    <n v="7.28"/>
    <n v="0.56999999999999995"/>
  </r>
  <r>
    <x v="92"/>
    <x v="55"/>
    <s v="MEDIUM"/>
    <s v="Prod_6"/>
    <x v="0"/>
    <x v="0"/>
    <s v="Cust_43"/>
    <x v="147"/>
    <n v="0.05"/>
    <n v="19"/>
    <n v="-55.13"/>
    <n v="6.57"/>
    <n v="0.37"/>
  </r>
  <r>
    <x v="93"/>
    <x v="55"/>
    <s v="CRITICAL"/>
    <s v="Prod_6"/>
    <x v="0"/>
    <x v="0"/>
    <s v="Cust_493"/>
    <x v="148"/>
    <n v="0.01"/>
    <n v="40"/>
    <n v="711.74"/>
    <n v="5.08"/>
    <n v="0.38"/>
  </r>
  <r>
    <x v="93"/>
    <x v="55"/>
    <s v="CRITICAL"/>
    <s v="Prod_1"/>
    <x v="0"/>
    <x v="3"/>
    <s v="Cust_493"/>
    <x v="149"/>
    <n v="0.01"/>
    <n v="17"/>
    <n v="73.45"/>
    <n v="8.64"/>
    <n v="0.78"/>
  </r>
  <r>
    <x v="94"/>
    <x v="55"/>
    <s v="NOT SPECIFIED"/>
    <s v="Prod_13"/>
    <x v="0"/>
    <x v="9"/>
    <s v="Cust_75"/>
    <x v="150"/>
    <n v="0.08"/>
    <n v="49"/>
    <n v="-46.25"/>
    <n v="1.57"/>
    <n v="0.59"/>
  </r>
  <r>
    <x v="95"/>
    <x v="56"/>
    <s v="NOT SPECIFIED"/>
    <s v="Prod_5"/>
    <x v="1"/>
    <x v="2"/>
    <s v="Cust_1426"/>
    <x v="151"/>
    <n v="0.02"/>
    <n v="43"/>
    <n v="255.03"/>
    <n v="6.67"/>
    <n v="0.49"/>
  </r>
  <r>
    <x v="95"/>
    <x v="56"/>
    <s v="NOT SPECIFIED"/>
    <s v="Prod_7"/>
    <x v="0"/>
    <x v="5"/>
    <s v="Cust_1426"/>
    <x v="152"/>
    <n v="0.09"/>
    <n v="27"/>
    <n v="-6.69"/>
    <n v="0.7"/>
    <n v="0.8"/>
  </r>
  <r>
    <x v="95"/>
    <x v="56"/>
    <s v="NOT SPECIFIED"/>
    <s v="Prod_5"/>
    <x v="1"/>
    <x v="2"/>
    <s v="Cust_413"/>
    <x v="153"/>
    <n v="0.02"/>
    <n v="6"/>
    <n v="-26.39"/>
    <n v="14.37"/>
    <n v="0.73"/>
  </r>
  <r>
    <x v="96"/>
    <x v="56"/>
    <s v="HIGH"/>
    <s v="Prod_10"/>
    <x v="1"/>
    <x v="4"/>
    <s v="Cust_494"/>
    <x v="154"/>
    <n v="0.05"/>
    <n v="40"/>
    <n v="-1609.92"/>
    <n v="54.11"/>
    <n v="0.69"/>
  </r>
  <r>
    <x v="97"/>
    <x v="56"/>
    <s v="NOT SPECIFIED"/>
    <s v="Prod_4"/>
    <x v="2"/>
    <x v="11"/>
    <s v="Cust_528"/>
    <x v="155"/>
    <n v="0.1"/>
    <n v="30"/>
    <n v="687.41"/>
    <n v="4.2"/>
    <n v="0.6"/>
  </r>
  <r>
    <x v="97"/>
    <x v="56"/>
    <s v="NOT SPECIFIED"/>
    <s v="Prod_4"/>
    <x v="2"/>
    <x v="11"/>
    <s v="Cust_528"/>
    <x v="156"/>
    <n v="0.01"/>
    <n v="42"/>
    <n v="1222.1400000000001"/>
    <n v="8.08"/>
    <n v="0.56999999999999995"/>
  </r>
  <r>
    <x v="98"/>
    <x v="56"/>
    <s v="LOW"/>
    <s v="Prod_1"/>
    <x v="0"/>
    <x v="3"/>
    <s v="Cust_82"/>
    <x v="157"/>
    <n v="0.01"/>
    <n v="30"/>
    <n v="-31.45"/>
    <n v="6.13"/>
    <n v="0.56999999999999995"/>
  </r>
  <r>
    <x v="99"/>
    <x v="57"/>
    <s v="MEDIUM"/>
    <s v="Prod_6"/>
    <x v="0"/>
    <x v="0"/>
    <s v="Cust_464"/>
    <x v="158"/>
    <n v="7.0000000000000007E-2"/>
    <n v="6"/>
    <n v="45.76"/>
    <n v="10.75"/>
    <n v="0.36"/>
  </r>
  <r>
    <x v="99"/>
    <x v="57"/>
    <s v="MEDIUM"/>
    <s v="Prod_1"/>
    <x v="0"/>
    <x v="3"/>
    <s v="Cust_464"/>
    <x v="159"/>
    <n v="7.0000000000000007E-2"/>
    <n v="25"/>
    <n v="-68.489999999999995"/>
    <n v="7.51"/>
    <n v="0.56999999999999995"/>
  </r>
  <r>
    <x v="100"/>
    <x v="58"/>
    <s v="LOW"/>
    <s v="Prod_3"/>
    <x v="0"/>
    <x v="1"/>
    <s v="Cust_421"/>
    <x v="160"/>
    <n v="7.0000000000000007E-2"/>
    <n v="32"/>
    <n v="24.61"/>
    <n v="7.17"/>
    <n v="0.38"/>
  </r>
  <r>
    <x v="101"/>
    <x v="59"/>
    <s v="LOW"/>
    <s v="Prod_5"/>
    <x v="1"/>
    <x v="2"/>
    <s v="Cust_403"/>
    <x v="161"/>
    <n v="7.0000000000000007E-2"/>
    <n v="35"/>
    <n v="75.61"/>
    <n v="4.9800000000000004"/>
    <n v="0.48"/>
  </r>
  <r>
    <x v="102"/>
    <x v="59"/>
    <s v="NOT SPECIFIED"/>
    <s v="Prod_4"/>
    <x v="2"/>
    <x v="11"/>
    <s v="Cust_81"/>
    <x v="162"/>
    <n v="0"/>
    <n v="9"/>
    <n v="18.23"/>
    <n v="0.99"/>
    <n v="0.37"/>
  </r>
  <r>
    <x v="103"/>
    <x v="60"/>
    <s v="CRITICAL"/>
    <s v="Prod_1"/>
    <x v="0"/>
    <x v="3"/>
    <s v="Cust_397"/>
    <x v="163"/>
    <n v="7.0000000000000007E-2"/>
    <n v="27"/>
    <n v="-207.28"/>
    <n v="35"/>
    <n v="0.8"/>
  </r>
  <r>
    <x v="104"/>
    <x v="60"/>
    <s v="HIGH"/>
    <s v="Prod_8"/>
    <x v="2"/>
    <x v="8"/>
    <s v="Cust_58"/>
    <x v="164"/>
    <n v="0.1"/>
    <n v="3"/>
    <n v="-118.82"/>
    <n v="1.99"/>
    <n v="0.44"/>
  </r>
  <r>
    <x v="105"/>
    <x v="61"/>
    <s v="MEDIUM"/>
    <s v="Prod_3"/>
    <x v="0"/>
    <x v="1"/>
    <s v="Cust_385"/>
    <x v="165"/>
    <n v="0.08"/>
    <n v="33"/>
    <n v="-159.74"/>
    <n v="6.27"/>
    <n v="0.4"/>
  </r>
  <r>
    <x v="105"/>
    <x v="61"/>
    <s v="MEDIUM"/>
    <s v="Prod_4"/>
    <x v="2"/>
    <x v="11"/>
    <s v="Cust_385"/>
    <x v="166"/>
    <n v="0.09"/>
    <n v="16"/>
    <n v="46.51"/>
    <n v="1.1000000000000001"/>
    <n v="0.55000000000000004"/>
  </r>
  <r>
    <x v="106"/>
    <x v="62"/>
    <s v="NOT SPECIFIED"/>
    <s v="Prod_9"/>
    <x v="0"/>
    <x v="6"/>
    <s v="Cust_390"/>
    <x v="167"/>
    <n v="0.05"/>
    <n v="39"/>
    <n v="-134.97"/>
    <n v="8.2899999999999991"/>
    <n v="0.38"/>
  </r>
  <r>
    <x v="106"/>
    <x v="62"/>
    <s v="NOT SPECIFIED"/>
    <s v="Prod_6"/>
    <x v="0"/>
    <x v="0"/>
    <s v="Cust_448"/>
    <x v="168"/>
    <n v="0.03"/>
    <n v="20"/>
    <n v="37.33"/>
    <n v="2.17"/>
    <n v="0.38"/>
  </r>
  <r>
    <x v="107"/>
    <x v="63"/>
    <s v="NOT SPECIFIED"/>
    <s v="Prod_3"/>
    <x v="0"/>
    <x v="1"/>
    <s v="Cust_402"/>
    <x v="169"/>
    <n v="0.1"/>
    <n v="6"/>
    <n v="-2.73"/>
    <n v="16.11"/>
    <n v="0.39"/>
  </r>
  <r>
    <x v="108"/>
    <x v="64"/>
    <s v="LOW"/>
    <s v="Prod_5"/>
    <x v="1"/>
    <x v="2"/>
    <s v="Cust_422"/>
    <x v="170"/>
    <n v="0.04"/>
    <n v="16"/>
    <n v="-22.21"/>
    <n v="5.22"/>
    <n v="0.6"/>
  </r>
  <r>
    <x v="109"/>
    <x v="64"/>
    <s v="CRITICAL"/>
    <s v="Prod_8"/>
    <x v="2"/>
    <x v="8"/>
    <s v="Cust_532"/>
    <x v="171"/>
    <n v="0"/>
    <n v="47"/>
    <n v="531.47"/>
    <n v="1.99"/>
    <n v="0.5"/>
  </r>
  <r>
    <x v="110"/>
    <x v="65"/>
    <s v="LOW"/>
    <s v="Prod_15"/>
    <x v="1"/>
    <x v="7"/>
    <s v="Cust_444"/>
    <x v="172"/>
    <n v="0.03"/>
    <n v="45"/>
    <n v="1385.35"/>
    <n v="30"/>
    <n v="0.62"/>
  </r>
  <r>
    <x v="110"/>
    <x v="65"/>
    <s v="LOW"/>
    <s v="Prod_4"/>
    <x v="2"/>
    <x v="11"/>
    <s v="Cust_444"/>
    <x v="173"/>
    <n v="0.03"/>
    <n v="24"/>
    <n v="172.33"/>
    <n v="3.99"/>
    <n v="0.59"/>
  </r>
  <r>
    <x v="111"/>
    <x v="65"/>
    <s v="MEDIUM"/>
    <s v="Prod_6"/>
    <x v="0"/>
    <x v="0"/>
    <s v="Cust_542"/>
    <x v="174"/>
    <n v="0.05"/>
    <n v="32"/>
    <n v="175.97"/>
    <n v="5.77"/>
    <n v="0.38"/>
  </r>
  <r>
    <x v="111"/>
    <x v="65"/>
    <s v="MEDIUM"/>
    <s v="Prod_1"/>
    <x v="0"/>
    <x v="3"/>
    <s v="Cust_542"/>
    <x v="175"/>
    <n v="0.01"/>
    <n v="27"/>
    <n v="283.14"/>
    <n v="6.22"/>
    <s v="NA"/>
  </r>
  <r>
    <x v="112"/>
    <x v="66"/>
    <s v="LOW"/>
    <s v="Prod_13"/>
    <x v="0"/>
    <x v="9"/>
    <s v="Cust_442"/>
    <x v="176"/>
    <n v="0.05"/>
    <n v="16"/>
    <n v="16.649999999999999"/>
    <n v="0.71"/>
    <n v="0.52"/>
  </r>
  <r>
    <x v="113"/>
    <x v="66"/>
    <s v="LOW"/>
    <s v="Prod_1"/>
    <x v="0"/>
    <x v="3"/>
    <s v="Cust_472"/>
    <x v="177"/>
    <n v="0.09"/>
    <n v="20"/>
    <n v="-609.09"/>
    <n v="35"/>
    <s v="NA"/>
  </r>
  <r>
    <x v="114"/>
    <x v="66"/>
    <s v="MEDIUM"/>
    <s v="Prod_1"/>
    <x v="0"/>
    <x v="3"/>
    <s v="Cust_519"/>
    <x v="178"/>
    <n v="0.04"/>
    <n v="33"/>
    <n v="-120.48"/>
    <n v="9.3699999999999992"/>
    <n v="0.56000000000000005"/>
  </r>
  <r>
    <x v="115"/>
    <x v="66"/>
    <s v="HIGH"/>
    <s v="Prod_2"/>
    <x v="0"/>
    <x v="12"/>
    <s v="Cust_555"/>
    <x v="179"/>
    <n v="7.0000000000000007E-2"/>
    <n v="29"/>
    <n v="-112.54"/>
    <n v="5"/>
    <n v="0.55000000000000004"/>
  </r>
  <r>
    <x v="115"/>
    <x v="66"/>
    <s v="HIGH"/>
    <s v="Prod_9"/>
    <x v="0"/>
    <x v="6"/>
    <s v="Cust_555"/>
    <x v="180"/>
    <n v="0.02"/>
    <n v="33"/>
    <n v="268.52999999999997"/>
    <n v="1.39"/>
    <n v="0.38"/>
  </r>
  <r>
    <x v="115"/>
    <x v="66"/>
    <s v="HIGH"/>
    <s v="Prod_17"/>
    <x v="2"/>
    <x v="13"/>
    <s v="Cust_555"/>
    <x v="181"/>
    <n v="0.02"/>
    <n v="38"/>
    <n v="7251.92"/>
    <n v="48.26"/>
    <n v="0.36"/>
  </r>
  <r>
    <x v="115"/>
    <x v="66"/>
    <s v="HIGH"/>
    <s v="Prod_17"/>
    <x v="2"/>
    <x v="13"/>
    <s v="Cust_555"/>
    <x v="182"/>
    <n v="0.04"/>
    <n v="45"/>
    <n v="294.43"/>
    <n v="6.3"/>
    <n v="0.38"/>
  </r>
  <r>
    <x v="116"/>
    <x v="67"/>
    <s v="HIGH"/>
    <s v="Prod_8"/>
    <x v="2"/>
    <x v="8"/>
    <s v="Cust_492"/>
    <x v="183"/>
    <n v="0.1"/>
    <n v="37"/>
    <n v="14.85"/>
    <n v="4"/>
    <n v="0.79"/>
  </r>
  <r>
    <x v="116"/>
    <x v="67"/>
    <s v="HIGH"/>
    <s v="Prod_8"/>
    <x v="2"/>
    <x v="8"/>
    <s v="Cust_492"/>
    <x v="184"/>
    <n v="0.08"/>
    <n v="30"/>
    <n v="342.41"/>
    <n v="1.99"/>
    <n v="0.43"/>
  </r>
  <r>
    <x v="117"/>
    <x v="67"/>
    <s v="CRITICAL"/>
    <s v="Prod_17"/>
    <x v="2"/>
    <x v="13"/>
    <s v="Cust_60"/>
    <x v="185"/>
    <n v="0.1"/>
    <n v="41"/>
    <n v="121.48"/>
    <n v="33.6"/>
    <n v="0.37"/>
  </r>
  <r>
    <x v="118"/>
    <x v="68"/>
    <s v="NOT SPECIFIED"/>
    <s v="Prod_8"/>
    <x v="2"/>
    <x v="8"/>
    <s v="Cust_440"/>
    <x v="186"/>
    <n v="7.0000000000000007E-2"/>
    <n v="4"/>
    <n v="-35.17"/>
    <n v="2.83"/>
    <n v="0.77"/>
  </r>
  <r>
    <x v="118"/>
    <x v="68"/>
    <s v="NOT SPECIFIED"/>
    <s v="Prod_17"/>
    <x v="2"/>
    <x v="13"/>
    <s v="Cust_440"/>
    <x v="187"/>
    <n v="0.01"/>
    <n v="29"/>
    <n v="158.91"/>
    <n v="6.3"/>
    <n v="0.38"/>
  </r>
  <r>
    <x v="119"/>
    <x v="69"/>
    <s v="HIGH"/>
    <s v="Prod_1"/>
    <x v="0"/>
    <x v="3"/>
    <s v="Cust_522"/>
    <x v="188"/>
    <n v="0.1"/>
    <n v="29"/>
    <n v="-16.59"/>
    <n v="6.25"/>
    <n v="0.57999999999999996"/>
  </r>
  <r>
    <x v="119"/>
    <x v="69"/>
    <s v="HIGH"/>
    <s v="Prod_4"/>
    <x v="2"/>
    <x v="11"/>
    <s v="Cust_522"/>
    <x v="189"/>
    <n v="0.04"/>
    <n v="23"/>
    <n v="383.45"/>
    <n v="8.99"/>
    <n v="0.57999999999999996"/>
  </r>
  <r>
    <x v="120"/>
    <x v="70"/>
    <s v="HIGH"/>
    <s v="Prod_6"/>
    <x v="0"/>
    <x v="0"/>
    <s v="Cust_408"/>
    <x v="190"/>
    <n v="7.0000000000000007E-2"/>
    <n v="12"/>
    <n v="23.53"/>
    <n v="2.06"/>
    <n v="0.39"/>
  </r>
  <r>
    <x v="120"/>
    <x v="70"/>
    <s v="HIGH"/>
    <s v="Prod_8"/>
    <x v="2"/>
    <x v="8"/>
    <s v="Cust_408"/>
    <x v="191"/>
    <n v="0.02"/>
    <n v="31"/>
    <n v="-108.55"/>
    <n v="4.93"/>
    <n v="0.66"/>
  </r>
  <r>
    <x v="121"/>
    <x v="71"/>
    <s v="LOW"/>
    <s v="Prod_3"/>
    <x v="0"/>
    <x v="1"/>
    <s v="Cust_397"/>
    <x v="192"/>
    <n v="0.06"/>
    <n v="10"/>
    <n v="-12.72"/>
    <n v="2.99"/>
    <n v="0.37"/>
  </r>
  <r>
    <x v="122"/>
    <x v="72"/>
    <s v="NOT SPECIFIED"/>
    <s v="Prod_6"/>
    <x v="0"/>
    <x v="0"/>
    <s v="Cust_506"/>
    <x v="193"/>
    <n v="0.04"/>
    <n v="38"/>
    <n v="25.03"/>
    <n v="5.12"/>
    <n v="0.4"/>
  </r>
  <r>
    <x v="123"/>
    <x v="72"/>
    <s v="NOT SPECIFIED"/>
    <s v="Prod_6"/>
    <x v="0"/>
    <x v="0"/>
    <s v="Cust_559"/>
    <x v="194"/>
    <n v="0.01"/>
    <n v="50"/>
    <n v="-56.51"/>
    <n v="5.83"/>
    <n v="0.36"/>
  </r>
  <r>
    <x v="124"/>
    <x v="73"/>
    <s v="LOW"/>
    <s v="Prod_2"/>
    <x v="0"/>
    <x v="12"/>
    <s v="Cust_416"/>
    <x v="195"/>
    <n v="0"/>
    <n v="46"/>
    <n v="1398.03"/>
    <n v="55.24"/>
    <n v="0.56999999999999995"/>
  </r>
  <r>
    <x v="124"/>
    <x v="73"/>
    <s v="LOW"/>
    <s v="Prod_2"/>
    <x v="0"/>
    <x v="12"/>
    <s v="Cust_416"/>
    <x v="196"/>
    <n v="0.06"/>
    <n v="43"/>
    <n v="-16.11"/>
    <n v="3.5"/>
    <n v="0.57999999999999996"/>
  </r>
  <r>
    <x v="124"/>
    <x v="73"/>
    <s v="LOW"/>
    <s v="Prod_9"/>
    <x v="0"/>
    <x v="6"/>
    <s v="Cust_416"/>
    <x v="197"/>
    <n v="0.04"/>
    <n v="27"/>
    <n v="21.46"/>
    <n v="2.5"/>
    <n v="0.36"/>
  </r>
  <r>
    <x v="124"/>
    <x v="73"/>
    <s v="LOW"/>
    <s v="Prod_12"/>
    <x v="0"/>
    <x v="15"/>
    <s v="Cust_416"/>
    <x v="198"/>
    <n v="0.01"/>
    <n v="39"/>
    <n v="50.44"/>
    <n v="0.5"/>
    <n v="0.36"/>
  </r>
  <r>
    <x v="125"/>
    <x v="73"/>
    <s v="NOT SPECIFIED"/>
    <s v="Prod_4"/>
    <x v="2"/>
    <x v="11"/>
    <s v="Cust_421"/>
    <x v="199"/>
    <n v="7.0000000000000007E-2"/>
    <n v="26"/>
    <n v="265.39"/>
    <n v="1.25"/>
    <n v="0.55000000000000004"/>
  </r>
  <r>
    <x v="126"/>
    <x v="73"/>
    <s v="NOT SPECIFIED"/>
    <s v="Prod_1"/>
    <x v="0"/>
    <x v="3"/>
    <s v="Cust_539"/>
    <x v="200"/>
    <n v="0.01"/>
    <n v="27"/>
    <n v="-60.73"/>
    <n v="8.7799999999999994"/>
    <n v="0.56999999999999995"/>
  </r>
  <r>
    <x v="126"/>
    <x v="73"/>
    <s v="NOT SPECIFIED"/>
    <s v="Prod_4"/>
    <x v="2"/>
    <x v="11"/>
    <s v="Cust_539"/>
    <x v="201"/>
    <n v="0.05"/>
    <n v="5"/>
    <n v="-28.44"/>
    <n v="5.03"/>
    <n v="0.6"/>
  </r>
  <r>
    <x v="127"/>
    <x v="74"/>
    <s v="MEDIUM"/>
    <s v="Prod_17"/>
    <x v="2"/>
    <x v="13"/>
    <s v="Cust_424"/>
    <x v="202"/>
    <n v="0.05"/>
    <n v="13"/>
    <n v="567.59"/>
    <n v="12.06"/>
    <n v="0.56000000000000005"/>
  </r>
  <r>
    <x v="127"/>
    <x v="74"/>
    <s v="MEDIUM"/>
    <s v="Prod_6"/>
    <x v="0"/>
    <x v="0"/>
    <s v="Cust_424"/>
    <x v="203"/>
    <n v="7.0000000000000007E-2"/>
    <n v="11"/>
    <n v="-28.45"/>
    <n v="5.74"/>
    <n v="0.37"/>
  </r>
  <r>
    <x v="128"/>
    <x v="74"/>
    <s v="NOT SPECIFIED"/>
    <s v="Prod_3"/>
    <x v="0"/>
    <x v="1"/>
    <s v="Cust_472"/>
    <x v="204"/>
    <n v="0.09"/>
    <n v="14"/>
    <n v="-69.53"/>
    <n v="7.78"/>
    <n v="0.37"/>
  </r>
  <r>
    <x v="129"/>
    <x v="74"/>
    <s v="NOT SPECIFIED"/>
    <s v="Prod_15"/>
    <x v="1"/>
    <x v="7"/>
    <s v="Cust_529"/>
    <x v="205"/>
    <n v="0.08"/>
    <n v="44"/>
    <n v="1232.79"/>
    <n v="24.49"/>
    <n v="0.56999999999999995"/>
  </r>
  <r>
    <x v="130"/>
    <x v="75"/>
    <s v="CRITICAL"/>
    <s v="Prod_4"/>
    <x v="2"/>
    <x v="11"/>
    <s v="Cust_363"/>
    <x v="206"/>
    <n v="0.01"/>
    <n v="12"/>
    <n v="-53.69"/>
    <n v="3.99"/>
    <n v="0.59"/>
  </r>
  <r>
    <x v="131"/>
    <x v="76"/>
    <s v="HIGH"/>
    <s v="Prod_6"/>
    <x v="0"/>
    <x v="0"/>
    <s v="Cust_388"/>
    <x v="207"/>
    <n v="0.09"/>
    <n v="43"/>
    <n v="-157.76"/>
    <n v="7.03"/>
    <n v="0.37"/>
  </r>
  <r>
    <x v="132"/>
    <x v="76"/>
    <s v="HIGH"/>
    <s v="Prod_8"/>
    <x v="2"/>
    <x v="8"/>
    <s v="Cust_398"/>
    <x v="208"/>
    <n v="0.01"/>
    <n v="12"/>
    <n v="-102.74"/>
    <n v="6.5"/>
    <n v="0.74"/>
  </r>
  <r>
    <x v="132"/>
    <x v="76"/>
    <s v="HIGH"/>
    <s v="Prod_8"/>
    <x v="2"/>
    <x v="8"/>
    <s v="Cust_398"/>
    <x v="209"/>
    <n v="0.03"/>
    <n v="41"/>
    <n v="1653.96"/>
    <n v="7.18"/>
    <n v="0.46"/>
  </r>
  <r>
    <x v="132"/>
    <x v="76"/>
    <s v="HIGH"/>
    <s v="Prod_12"/>
    <x v="0"/>
    <x v="15"/>
    <s v="Cust_398"/>
    <x v="210"/>
    <n v="0"/>
    <n v="15"/>
    <n v="29.67"/>
    <n v="0.99"/>
    <n v="0.39"/>
  </r>
  <r>
    <x v="133"/>
    <x v="77"/>
    <s v="HIGH"/>
    <s v="Prod_13"/>
    <x v="0"/>
    <x v="9"/>
    <s v="Cust_67"/>
    <x v="211"/>
    <n v="0.01"/>
    <n v="6"/>
    <n v="-4.0599999999999996"/>
    <n v="1.2"/>
    <n v="0.57999999999999996"/>
  </r>
  <r>
    <x v="133"/>
    <x v="77"/>
    <s v="HIGH"/>
    <s v="Prod_5"/>
    <x v="1"/>
    <x v="2"/>
    <s v="Cust_67"/>
    <x v="212"/>
    <n v="0.03"/>
    <n v="47"/>
    <n v="-1003.58"/>
    <n v="34.200000000000003"/>
    <n v="0.73"/>
  </r>
  <r>
    <x v="133"/>
    <x v="77"/>
    <s v="HIGH"/>
    <s v="Prod_4"/>
    <x v="2"/>
    <x v="11"/>
    <s v="Cust_67"/>
    <x v="213"/>
    <n v="7.0000000000000007E-2"/>
    <n v="49"/>
    <n v="1881.58"/>
    <n v="3.9"/>
    <n v="0.55000000000000004"/>
  </r>
  <r>
    <x v="134"/>
    <x v="78"/>
    <s v="MEDIUM"/>
    <s v="Prod_13"/>
    <x v="0"/>
    <x v="9"/>
    <s v="Cust_458"/>
    <x v="214"/>
    <n v="0.03"/>
    <n v="19"/>
    <n v="-0.53"/>
    <n v="0.86"/>
    <n v="0.56999999999999995"/>
  </r>
  <r>
    <x v="134"/>
    <x v="78"/>
    <s v="MEDIUM"/>
    <s v="Prod_6"/>
    <x v="0"/>
    <x v="0"/>
    <s v="Cust_458"/>
    <x v="215"/>
    <n v="0.01"/>
    <n v="21"/>
    <n v="-92.55"/>
    <n v="8.4"/>
    <n v="0.37"/>
  </r>
  <r>
    <x v="134"/>
    <x v="78"/>
    <s v="MEDIUM"/>
    <s v="Prod_11"/>
    <x v="1"/>
    <x v="14"/>
    <s v="Cust_458"/>
    <x v="216"/>
    <n v="0.05"/>
    <n v="32"/>
    <n v="875.55"/>
    <n v="29.1"/>
    <n v="0.68"/>
  </r>
  <r>
    <x v="135"/>
    <x v="78"/>
    <s v="HIGH"/>
    <s v="Prod_4"/>
    <x v="2"/>
    <x v="11"/>
    <s v="Cust_469"/>
    <x v="217"/>
    <n v="7.0000000000000007E-2"/>
    <n v="11"/>
    <n v="-112.24"/>
    <n v="5.99"/>
    <n v="0.57999999999999996"/>
  </r>
  <r>
    <x v="136"/>
    <x v="79"/>
    <s v="CRITICAL"/>
    <s v="Prod_10"/>
    <x v="1"/>
    <x v="4"/>
    <s v="Cust_395"/>
    <x v="218"/>
    <n v="0.05"/>
    <n v="10"/>
    <n v="-86.99"/>
    <n v="26.74"/>
    <n v="0.6"/>
  </r>
  <r>
    <x v="137"/>
    <x v="79"/>
    <s v="CRITICAL"/>
    <s v="Prod_3"/>
    <x v="0"/>
    <x v="1"/>
    <s v="Cust_414"/>
    <x v="219"/>
    <n v="0.02"/>
    <n v="42"/>
    <n v="50.24"/>
    <n v="7.17"/>
    <n v="0.38"/>
  </r>
  <r>
    <x v="138"/>
    <x v="79"/>
    <s v="CRITICAL"/>
    <s v="Prod_4"/>
    <x v="2"/>
    <x v="11"/>
    <s v="Cust_487"/>
    <x v="220"/>
    <n v="0.08"/>
    <n v="42"/>
    <n v="1144.6300000000001"/>
    <n v="2.5"/>
    <n v="0.56999999999999995"/>
  </r>
  <r>
    <x v="138"/>
    <x v="79"/>
    <s v="CRITICAL"/>
    <s v="Prod_16"/>
    <x v="0"/>
    <x v="10"/>
    <s v="Cust_487"/>
    <x v="221"/>
    <n v="0.02"/>
    <n v="35"/>
    <n v="-58.81"/>
    <n v="4.42"/>
    <n v="0.57999999999999996"/>
  </r>
  <r>
    <x v="139"/>
    <x v="79"/>
    <s v="LOW"/>
    <s v="Prod_5"/>
    <x v="1"/>
    <x v="2"/>
    <s v="Cust_527"/>
    <x v="222"/>
    <n v="0.04"/>
    <n v="37"/>
    <n v="-1036.92"/>
    <n v="56.2"/>
    <n v="0.74"/>
  </r>
  <r>
    <x v="140"/>
    <x v="80"/>
    <s v="MEDIUM"/>
    <s v="Prod_6"/>
    <x v="0"/>
    <x v="0"/>
    <s v="Cust_452"/>
    <x v="223"/>
    <n v="0"/>
    <n v="1"/>
    <n v="-41.82"/>
    <n v="17.079999999999998"/>
    <n v="0.4"/>
  </r>
  <r>
    <x v="141"/>
    <x v="80"/>
    <s v="NOT SPECIFIED"/>
    <s v="Prod_3"/>
    <x v="0"/>
    <x v="1"/>
    <s v="Cust_502"/>
    <x v="224"/>
    <n v="0.08"/>
    <n v="36"/>
    <n v="241.08"/>
    <n v="2.99"/>
    <n v="0.36"/>
  </r>
  <r>
    <x v="141"/>
    <x v="80"/>
    <s v="NOT SPECIFIED"/>
    <s v="Prod_6"/>
    <x v="0"/>
    <x v="0"/>
    <s v="Cust_502"/>
    <x v="225"/>
    <n v="0.03"/>
    <n v="48"/>
    <n v="40.61"/>
    <n v="5.12"/>
    <n v="0.4"/>
  </r>
  <r>
    <x v="142"/>
    <x v="80"/>
    <s v="NOT SPECIFIED"/>
    <s v="Prod_3"/>
    <x v="0"/>
    <x v="1"/>
    <s v="Cust_533"/>
    <x v="226"/>
    <n v="0.03"/>
    <n v="8"/>
    <n v="107.32"/>
    <n v="2.99"/>
    <n v="0.35"/>
  </r>
  <r>
    <x v="142"/>
    <x v="80"/>
    <s v="NOT SPECIFIED"/>
    <s v="Prod_6"/>
    <x v="0"/>
    <x v="0"/>
    <s v="Cust_533"/>
    <x v="227"/>
    <n v="0.08"/>
    <n v="16"/>
    <n v="-69.34"/>
    <n v="6.72"/>
    <n v="0.4"/>
  </r>
  <r>
    <x v="142"/>
    <x v="80"/>
    <s v="NOT SPECIFIED"/>
    <s v="Prod_6"/>
    <x v="0"/>
    <x v="0"/>
    <s v="Cust_533"/>
    <x v="228"/>
    <n v="0.09"/>
    <n v="45"/>
    <n v="-148.87"/>
    <n v="5.74"/>
    <n v="0.4"/>
  </r>
  <r>
    <x v="143"/>
    <x v="81"/>
    <s v="MEDIUM"/>
    <s v="Prod_5"/>
    <x v="1"/>
    <x v="2"/>
    <s v="Cust_439"/>
    <x v="229"/>
    <n v="0.06"/>
    <n v="14"/>
    <n v="38.06"/>
    <n v="8.99"/>
    <n v="0.47"/>
  </r>
  <r>
    <x v="144"/>
    <x v="82"/>
    <s v="CRITICAL"/>
    <s v="Prod_13"/>
    <x v="0"/>
    <x v="9"/>
    <s v="Cust_425"/>
    <x v="230"/>
    <n v="0.02"/>
    <n v="47"/>
    <n v="32.69"/>
    <n v="0.94"/>
    <n v="0.56000000000000005"/>
  </r>
  <r>
    <x v="145"/>
    <x v="83"/>
    <s v="HIGH"/>
    <s v="Prod_8"/>
    <x v="2"/>
    <x v="8"/>
    <s v="Cust_463"/>
    <x v="231"/>
    <n v="0.02"/>
    <n v="16"/>
    <n v="-23.86"/>
    <n v="1.99"/>
    <n v="0.51"/>
  </r>
  <r>
    <x v="145"/>
    <x v="83"/>
    <s v="HIGH"/>
    <s v="Prod_4"/>
    <x v="2"/>
    <x v="11"/>
    <s v="Cust_463"/>
    <x v="232"/>
    <n v="0.09"/>
    <n v="12"/>
    <n v="-122.62"/>
    <n v="3.3"/>
    <n v="0.81"/>
  </r>
  <r>
    <x v="146"/>
    <x v="83"/>
    <s v="CRITICAL"/>
    <s v="Prod_9"/>
    <x v="0"/>
    <x v="6"/>
    <s v="Cust_545"/>
    <x v="233"/>
    <n v="0.04"/>
    <n v="38"/>
    <n v="-4.17"/>
    <n v="6.97"/>
    <n v="0.35"/>
  </r>
  <r>
    <x v="147"/>
    <x v="83"/>
    <s v="LOW"/>
    <s v="Prod_3"/>
    <x v="0"/>
    <x v="1"/>
    <s v="Cust_63"/>
    <x v="234"/>
    <n v="0"/>
    <n v="18"/>
    <n v="10951.31"/>
    <n v="19.989999999999998"/>
    <n v="0.35"/>
  </r>
  <r>
    <x v="148"/>
    <x v="83"/>
    <s v="CRITICAL"/>
    <s v="Prod_1"/>
    <x v="0"/>
    <x v="3"/>
    <s v="Cust_79"/>
    <x v="235"/>
    <n v="0.09"/>
    <n v="8"/>
    <n v="-65.42"/>
    <n v="13.99"/>
    <n v="0.57999999999999996"/>
  </r>
  <r>
    <x v="148"/>
    <x v="83"/>
    <s v="CRITICAL"/>
    <s v="Prod_4"/>
    <x v="2"/>
    <x v="11"/>
    <s v="Cust_79"/>
    <x v="236"/>
    <n v="0.09"/>
    <n v="41"/>
    <n v="-250.17"/>
    <n v="5"/>
    <n v="0.8"/>
  </r>
  <r>
    <x v="148"/>
    <x v="83"/>
    <s v="CRITICAL"/>
    <s v="Prod_6"/>
    <x v="0"/>
    <x v="0"/>
    <s v="Cust_79"/>
    <x v="237"/>
    <n v="0.09"/>
    <n v="48"/>
    <n v="-131.82"/>
    <n v="5.17"/>
    <n v="0.4"/>
  </r>
  <r>
    <x v="149"/>
    <x v="84"/>
    <s v="LOW"/>
    <s v="Prod_15"/>
    <x v="1"/>
    <x v="7"/>
    <s v="Cust_512"/>
    <x v="238"/>
    <n v="0.09"/>
    <n v="35"/>
    <n v="100.5"/>
    <n v="5.3"/>
    <s v="NA"/>
  </r>
  <r>
    <x v="149"/>
    <x v="84"/>
    <s v="LOW"/>
    <s v="Prod_5"/>
    <x v="1"/>
    <x v="2"/>
    <s v="Cust_512"/>
    <x v="239"/>
    <n v="0.02"/>
    <n v="13"/>
    <n v="9.5299999999999994"/>
    <n v="0.99"/>
    <n v="0.48"/>
  </r>
  <r>
    <x v="150"/>
    <x v="84"/>
    <s v="LOW"/>
    <s v="Prod_3"/>
    <x v="0"/>
    <x v="1"/>
    <s v="Cust_557"/>
    <x v="240"/>
    <n v="0.09"/>
    <n v="30"/>
    <n v="-152.13"/>
    <n v="7.01"/>
    <n v="0.37"/>
  </r>
  <r>
    <x v="151"/>
    <x v="85"/>
    <s v="HIGH"/>
    <s v="Prod_5"/>
    <x v="1"/>
    <x v="2"/>
    <s v="Cust_366"/>
    <x v="241"/>
    <n v="0.08"/>
    <n v="35"/>
    <n v="-72.459999999999994"/>
    <n v="5.57"/>
    <n v="0.41"/>
  </r>
  <r>
    <x v="151"/>
    <x v="85"/>
    <s v="HIGH"/>
    <s v="Prod_11"/>
    <x v="1"/>
    <x v="14"/>
    <s v="Cust_366"/>
    <x v="242"/>
    <n v="0.1"/>
    <n v="35"/>
    <n v="-684.07"/>
    <n v="51.94"/>
    <n v="0.63"/>
  </r>
  <r>
    <x v="152"/>
    <x v="85"/>
    <s v="HIGH"/>
    <s v="Prod_2"/>
    <x v="0"/>
    <x v="12"/>
    <s v="Cust_550"/>
    <x v="243"/>
    <n v="0.09"/>
    <n v="48"/>
    <n v="-40.72"/>
    <n v="3.5"/>
    <n v="0.57999999999999996"/>
  </r>
  <r>
    <x v="153"/>
    <x v="86"/>
    <s v="NOT SPECIFIED"/>
    <s v="Prod_12"/>
    <x v="0"/>
    <x v="15"/>
    <s v="Cust_439"/>
    <x v="244"/>
    <n v="0.02"/>
    <n v="16"/>
    <n v="18.02"/>
    <n v="0.5"/>
    <n v="0.36"/>
  </r>
  <r>
    <x v="154"/>
    <x v="87"/>
    <s v="HIGH"/>
    <s v="Prod_8"/>
    <x v="2"/>
    <x v="8"/>
    <s v="Cust_401"/>
    <x v="245"/>
    <n v="0.09"/>
    <n v="2"/>
    <n v="-358.43"/>
    <n v="4"/>
    <n v="0.76"/>
  </r>
  <r>
    <x v="154"/>
    <x v="87"/>
    <s v="HIGH"/>
    <s v="Prod_4"/>
    <x v="2"/>
    <x v="11"/>
    <s v="Cust_401"/>
    <x v="246"/>
    <n v="0.08"/>
    <n v="44"/>
    <n v="314.83999999999997"/>
    <n v="4.99"/>
    <n v="0.56000000000000005"/>
  </r>
  <r>
    <x v="155"/>
    <x v="87"/>
    <s v="NOT SPECIFIED"/>
    <s v="Prod_6"/>
    <x v="0"/>
    <x v="0"/>
    <s v="Cust_491"/>
    <x v="247"/>
    <n v="0.02"/>
    <n v="18"/>
    <n v="-23.48"/>
    <n v="5.14"/>
    <n v="0.37"/>
  </r>
  <r>
    <x v="156"/>
    <x v="87"/>
    <s v="LOW"/>
    <s v="Prod_7"/>
    <x v="0"/>
    <x v="5"/>
    <s v="Cust_498"/>
    <x v="248"/>
    <n v="0.03"/>
    <n v="41"/>
    <n v="84.1"/>
    <n v="1.82"/>
    <n v="0.35"/>
  </r>
  <r>
    <x v="157"/>
    <x v="88"/>
    <s v="HIGH"/>
    <s v="Prod_3"/>
    <x v="0"/>
    <x v="1"/>
    <s v="Cust_413"/>
    <x v="249"/>
    <n v="0.03"/>
    <n v="19"/>
    <n v="33.18"/>
    <n v="4.9800000000000004"/>
    <n v="0.4"/>
  </r>
  <r>
    <x v="158"/>
    <x v="89"/>
    <s v="MEDIUM"/>
    <s v="Prod_3"/>
    <x v="0"/>
    <x v="1"/>
    <s v="Cust_444"/>
    <x v="250"/>
    <n v="0.08"/>
    <n v="1"/>
    <n v="-228.24"/>
    <n v="19.989999999999998"/>
    <n v="0.38"/>
  </r>
  <r>
    <x v="158"/>
    <x v="89"/>
    <s v="MEDIUM"/>
    <s v="Prod_6"/>
    <x v="0"/>
    <x v="0"/>
    <s v="Cust_444"/>
    <x v="251"/>
    <n v="0.03"/>
    <n v="38"/>
    <n v="989.95"/>
    <n v="5.15"/>
    <n v="0.36"/>
  </r>
  <r>
    <x v="158"/>
    <x v="89"/>
    <s v="MEDIUM"/>
    <s v="Prod_8"/>
    <x v="2"/>
    <x v="8"/>
    <s v="Cust_444"/>
    <x v="252"/>
    <n v="0.04"/>
    <n v="17"/>
    <n v="-56.78"/>
    <n v="4.07"/>
    <n v="0.66"/>
  </r>
  <r>
    <x v="159"/>
    <x v="89"/>
    <s v="CRITICAL"/>
    <s v="Prod_2"/>
    <x v="0"/>
    <x v="12"/>
    <s v="Cust_519"/>
    <x v="253"/>
    <n v="0.03"/>
    <n v="24"/>
    <n v="11.39"/>
    <n v="6.75"/>
    <n v="0.52"/>
  </r>
  <r>
    <x v="159"/>
    <x v="89"/>
    <s v="CRITICAL"/>
    <s v="Prod_15"/>
    <x v="1"/>
    <x v="7"/>
    <s v="Cust_519"/>
    <x v="254"/>
    <n v="7.0000000000000007E-2"/>
    <n v="17"/>
    <n v="117.23"/>
    <n v="143.71"/>
    <n v="0.55000000000000004"/>
  </r>
  <r>
    <x v="159"/>
    <x v="89"/>
    <s v="CRITICAL"/>
    <s v="Prod_17"/>
    <x v="2"/>
    <x v="13"/>
    <s v="Cust_519"/>
    <x v="255"/>
    <n v="0.01"/>
    <n v="40"/>
    <n v="27.64"/>
    <n v="8.51"/>
    <n v="0.4"/>
  </r>
  <r>
    <x v="159"/>
    <x v="89"/>
    <s v="CRITICAL"/>
    <s v="Prod_4"/>
    <x v="2"/>
    <x v="11"/>
    <s v="Cust_519"/>
    <x v="256"/>
    <n v="7.0000000000000007E-2"/>
    <n v="25"/>
    <n v="331.29"/>
    <n v="7.69"/>
    <n v="0.57999999999999996"/>
  </r>
  <r>
    <x v="159"/>
    <x v="89"/>
    <s v="CRITICAL"/>
    <s v="Prod_4"/>
    <x v="2"/>
    <x v="11"/>
    <s v="Cust_519"/>
    <x v="257"/>
    <n v="0.02"/>
    <n v="16"/>
    <n v="311.08999999999997"/>
    <n v="8.99"/>
    <n v="0.57999999999999996"/>
  </r>
  <r>
    <x v="160"/>
    <x v="89"/>
    <s v="CRITICAL"/>
    <s v="Prod_12"/>
    <x v="0"/>
    <x v="15"/>
    <s v="Cust_81"/>
    <x v="258"/>
    <n v="0.06"/>
    <n v="27"/>
    <n v="17.989999999999998"/>
    <n v="0.99"/>
    <n v="0.36"/>
  </r>
  <r>
    <x v="160"/>
    <x v="89"/>
    <s v="CRITICAL"/>
    <s v="Prod_6"/>
    <x v="0"/>
    <x v="0"/>
    <s v="Cust_81"/>
    <x v="259"/>
    <n v="0.02"/>
    <n v="16"/>
    <n v="-50.82"/>
    <n v="6.81"/>
    <n v="0.36"/>
  </r>
  <r>
    <x v="161"/>
    <x v="90"/>
    <s v="NOT SPECIFIED"/>
    <s v="Prod_3"/>
    <x v="0"/>
    <x v="1"/>
    <s v="Cust_365"/>
    <x v="260"/>
    <n v="0.01"/>
    <n v="26"/>
    <n v="-54.08"/>
    <n v="4.95"/>
    <n v="0.37"/>
  </r>
  <r>
    <x v="161"/>
    <x v="90"/>
    <s v="NOT SPECIFIED"/>
    <s v="Prod_5"/>
    <x v="1"/>
    <x v="2"/>
    <s v="Cust_365"/>
    <x v="261"/>
    <n v="0.08"/>
    <n v="28"/>
    <n v="13.44"/>
    <n v="4"/>
    <n v="0.42"/>
  </r>
  <r>
    <x v="161"/>
    <x v="90"/>
    <s v="NOT SPECIFIED"/>
    <s v="Prod_7"/>
    <x v="0"/>
    <x v="5"/>
    <s v="Cust_365"/>
    <x v="262"/>
    <n v="0.04"/>
    <n v="39"/>
    <n v="6.67"/>
    <n v="0.78"/>
    <n v="0.52"/>
  </r>
  <r>
    <x v="162"/>
    <x v="91"/>
    <s v="NOT SPECIFIED"/>
    <s v="Prod_8"/>
    <x v="2"/>
    <x v="8"/>
    <s v="Cust_404"/>
    <x v="263"/>
    <n v="0.01"/>
    <n v="4"/>
    <n v="-125.16"/>
    <n v="4"/>
    <n v="0.75"/>
  </r>
  <r>
    <x v="162"/>
    <x v="91"/>
    <s v="NOT SPECIFIED"/>
    <s v="Prod_5"/>
    <x v="1"/>
    <x v="2"/>
    <s v="Cust_404"/>
    <x v="264"/>
    <n v="7.0000000000000007E-2"/>
    <n v="24"/>
    <n v="376.52"/>
    <n v="10.84"/>
    <n v="0.63"/>
  </r>
  <r>
    <x v="162"/>
    <x v="91"/>
    <s v="NOT SPECIFIED"/>
    <s v="Prod_1"/>
    <x v="0"/>
    <x v="3"/>
    <s v="Cust_404"/>
    <x v="265"/>
    <n v="0.09"/>
    <n v="19"/>
    <n v="183.28"/>
    <n v="19.989999999999998"/>
    <n v="0.71"/>
  </r>
  <r>
    <x v="163"/>
    <x v="91"/>
    <s v="NOT SPECIFIED"/>
    <s v="Prod_3"/>
    <x v="0"/>
    <x v="1"/>
    <s v="Cust_48"/>
    <x v="266"/>
    <n v="0.09"/>
    <n v="9"/>
    <n v="58.23"/>
    <n v="2.99"/>
    <n v="0.35"/>
  </r>
  <r>
    <x v="164"/>
    <x v="92"/>
    <s v="HIGH"/>
    <s v="Prod_3"/>
    <x v="0"/>
    <x v="1"/>
    <s v="Cust_393"/>
    <x v="267"/>
    <n v="0.05"/>
    <n v="15"/>
    <n v="-46.35"/>
    <n v="6.28"/>
    <n v="0.4"/>
  </r>
  <r>
    <x v="165"/>
    <x v="93"/>
    <s v="HIGH"/>
    <s v="Prod_4"/>
    <x v="2"/>
    <x v="11"/>
    <s v="Cust_379"/>
    <x v="268"/>
    <n v="0.03"/>
    <n v="47"/>
    <n v="846.95"/>
    <n v="5.92"/>
    <n v="0.55000000000000004"/>
  </r>
  <r>
    <x v="166"/>
    <x v="93"/>
    <s v="NOT SPECIFIED"/>
    <s v="Prod_2"/>
    <x v="0"/>
    <x v="12"/>
    <s v="Cust_391"/>
    <x v="269"/>
    <n v="0.09"/>
    <n v="10"/>
    <n v="359.83"/>
    <n v="0.99"/>
    <n v="0.55000000000000004"/>
  </r>
  <r>
    <x v="167"/>
    <x v="94"/>
    <s v="CRITICAL"/>
    <s v="Prod_3"/>
    <x v="0"/>
    <x v="1"/>
    <s v="Cust_391"/>
    <x v="270"/>
    <n v="0.1"/>
    <n v="25"/>
    <n v="-69.87"/>
    <n v="6.28"/>
    <n v="0.4"/>
  </r>
  <r>
    <x v="167"/>
    <x v="94"/>
    <s v="CRITICAL"/>
    <s v="Prod_6"/>
    <x v="0"/>
    <x v="0"/>
    <s v="Cust_391"/>
    <x v="271"/>
    <n v="0.01"/>
    <n v="34"/>
    <n v="-135.74"/>
    <n v="7.86"/>
    <n v="0.37"/>
  </r>
  <r>
    <x v="168"/>
    <x v="95"/>
    <s v="LOW"/>
    <s v="Prod_3"/>
    <x v="0"/>
    <x v="1"/>
    <s v="Cust_412"/>
    <x v="272"/>
    <n v="0.02"/>
    <n v="23"/>
    <n v="-76.989999999999995"/>
    <n v="13.18"/>
    <n v="0.37"/>
  </r>
  <r>
    <x v="168"/>
    <x v="95"/>
    <s v="LOW"/>
    <s v="Prod_5"/>
    <x v="1"/>
    <x v="2"/>
    <s v="Cust_412"/>
    <x v="273"/>
    <n v="0.09"/>
    <n v="32"/>
    <n v="598.20000000000005"/>
    <n v="6.77"/>
    <n v="0.44"/>
  </r>
  <r>
    <x v="169"/>
    <x v="96"/>
    <s v="CRITICAL"/>
    <s v="Prod_16"/>
    <x v="0"/>
    <x v="10"/>
    <s v="Cust_519"/>
    <x v="274"/>
    <n v="0.08"/>
    <n v="10"/>
    <n v="-37.6"/>
    <n v="7.42"/>
    <n v="0.56000000000000005"/>
  </r>
  <r>
    <x v="170"/>
    <x v="97"/>
    <s v="CRITICAL"/>
    <s v="Prod_5"/>
    <x v="1"/>
    <x v="2"/>
    <s v="Cust_465"/>
    <x v="275"/>
    <n v="0.03"/>
    <n v="22"/>
    <n v="-27.39"/>
    <n v="3.63"/>
    <n v="0.51"/>
  </r>
  <r>
    <x v="170"/>
    <x v="97"/>
    <s v="CRITICAL"/>
    <s v="Prod_6"/>
    <x v="0"/>
    <x v="0"/>
    <s v="Cust_465"/>
    <x v="276"/>
    <n v="0"/>
    <n v="40"/>
    <n v="-167.92"/>
    <n v="6.72"/>
    <n v="0.4"/>
  </r>
  <r>
    <x v="171"/>
    <x v="97"/>
    <s v="HIGH"/>
    <s v="Prod_17"/>
    <x v="2"/>
    <x v="13"/>
    <s v="Cust_473"/>
    <x v="277"/>
    <n v="7.0000000000000007E-2"/>
    <n v="50"/>
    <n v="773.36"/>
    <n v="10.17"/>
    <n v="0.37"/>
  </r>
  <r>
    <x v="171"/>
    <x v="97"/>
    <s v="HIGH"/>
    <s v="Prod_17"/>
    <x v="2"/>
    <x v="13"/>
    <s v="Cust_473"/>
    <x v="278"/>
    <n v="0.1"/>
    <n v="11"/>
    <n v="-149.46"/>
    <n v="33.6"/>
    <n v="0.37"/>
  </r>
  <r>
    <x v="172"/>
    <x v="97"/>
    <s v="LOW"/>
    <s v="Prod_5"/>
    <x v="1"/>
    <x v="2"/>
    <s v="Cust_488"/>
    <x v="35"/>
    <n v="0.01"/>
    <n v="2"/>
    <n v="21.77"/>
    <n v="6.22"/>
    <n v="0.55000000000000004"/>
  </r>
  <r>
    <x v="173"/>
    <x v="97"/>
    <s v="CRITICAL"/>
    <s v="Prod_3"/>
    <x v="0"/>
    <x v="1"/>
    <s v="Cust_492"/>
    <x v="279"/>
    <n v="0.01"/>
    <n v="50"/>
    <n v="52.48"/>
    <n v="12.98"/>
    <n v="0.39"/>
  </r>
  <r>
    <x v="174"/>
    <x v="97"/>
    <s v="LOW"/>
    <s v="Prod_8"/>
    <x v="2"/>
    <x v="8"/>
    <s v="Cust_556"/>
    <x v="280"/>
    <n v="0.1"/>
    <n v="17"/>
    <n v="-44.86"/>
    <n v="2.74"/>
    <n v="0.71"/>
  </r>
  <r>
    <x v="174"/>
    <x v="97"/>
    <s v="LOW"/>
    <s v="Prod_9"/>
    <x v="0"/>
    <x v="6"/>
    <s v="Cust_556"/>
    <x v="281"/>
    <n v="0"/>
    <n v="19"/>
    <n v="-58.76"/>
    <n v="8.2899999999999991"/>
    <n v="0.38"/>
  </r>
  <r>
    <x v="175"/>
    <x v="98"/>
    <s v="CRITICAL"/>
    <s v="Prod_2"/>
    <x v="0"/>
    <x v="12"/>
    <s v="Cust_493"/>
    <x v="282"/>
    <n v="0.01"/>
    <n v="34"/>
    <n v="501.59"/>
    <n v="4.62"/>
    <n v="0.56000000000000005"/>
  </r>
  <r>
    <x v="176"/>
    <x v="98"/>
    <s v="NOT SPECIFIED"/>
    <s v="Prod_5"/>
    <x v="1"/>
    <x v="2"/>
    <s v="Cust_508"/>
    <x v="283"/>
    <n v="0.01"/>
    <n v="31"/>
    <n v="-27.79"/>
    <n v="19.46"/>
    <n v="0.44"/>
  </r>
  <r>
    <x v="177"/>
    <x v="99"/>
    <s v="HIGH"/>
    <s v="Prod_9"/>
    <x v="0"/>
    <x v="6"/>
    <s v="Cust_400"/>
    <x v="284"/>
    <n v="0.09"/>
    <n v="15"/>
    <n v="-48.57"/>
    <n v="12.39"/>
    <n v="0.35"/>
  </r>
  <r>
    <x v="178"/>
    <x v="99"/>
    <s v="LOW"/>
    <s v="Prod_9"/>
    <x v="0"/>
    <x v="6"/>
    <s v="Cust_428"/>
    <x v="285"/>
    <n v="0.1"/>
    <n v="32"/>
    <n v="46.61"/>
    <n v="1.39"/>
    <n v="0.38"/>
  </r>
  <r>
    <x v="179"/>
    <x v="99"/>
    <s v="CRITICAL"/>
    <s v="Prod_11"/>
    <x v="1"/>
    <x v="14"/>
    <s v="Cust_551"/>
    <x v="286"/>
    <n v="0.04"/>
    <n v="19"/>
    <n v="199.25"/>
    <n v="52.2"/>
    <n v="0.64"/>
  </r>
  <r>
    <x v="179"/>
    <x v="99"/>
    <s v="CRITICAL"/>
    <s v="Prod_13"/>
    <x v="0"/>
    <x v="9"/>
    <s v="Cust_551"/>
    <x v="287"/>
    <n v="0.08"/>
    <n v="17"/>
    <n v="-21.4"/>
    <n v="2.31"/>
    <n v="0.56000000000000005"/>
  </r>
  <r>
    <x v="180"/>
    <x v="100"/>
    <s v="MEDIUM"/>
    <s v="Prod_6"/>
    <x v="0"/>
    <x v="0"/>
    <s v="Cust_484"/>
    <x v="288"/>
    <n v="0.04"/>
    <n v="24"/>
    <n v="43.35"/>
    <n v="0.8"/>
    <n v="0.36"/>
  </r>
  <r>
    <x v="181"/>
    <x v="101"/>
    <s v="NOT SPECIFIED"/>
    <s v="Prod_6"/>
    <x v="0"/>
    <x v="0"/>
    <s v="Cust_89"/>
    <x v="289"/>
    <n v="0.08"/>
    <n v="12"/>
    <n v="52.02"/>
    <n v="5.47"/>
    <n v="0.39"/>
  </r>
  <r>
    <x v="181"/>
    <x v="101"/>
    <s v="NOT SPECIFIED"/>
    <s v="Prod_1"/>
    <x v="0"/>
    <x v="3"/>
    <s v="Cust_89"/>
    <x v="290"/>
    <n v="0.09"/>
    <n v="20"/>
    <n v="63.83"/>
    <n v="5.49"/>
    <n v="0.6"/>
  </r>
  <r>
    <x v="182"/>
    <x v="102"/>
    <s v="HIGH"/>
    <s v="Prod_8"/>
    <x v="2"/>
    <x v="8"/>
    <s v="Cust_394"/>
    <x v="291"/>
    <n v="0.08"/>
    <n v="17"/>
    <n v="-135.97999999999999"/>
    <n v="6.5"/>
    <n v="0.78"/>
  </r>
  <r>
    <x v="182"/>
    <x v="102"/>
    <s v="HIGH"/>
    <s v="Prod_1"/>
    <x v="0"/>
    <x v="3"/>
    <s v="Cust_394"/>
    <x v="292"/>
    <n v="0"/>
    <n v="21"/>
    <n v="299.88"/>
    <n v="28.66"/>
    <n v="0.72"/>
  </r>
  <r>
    <x v="183"/>
    <x v="102"/>
    <s v="LOW"/>
    <s v="Prod_15"/>
    <x v="1"/>
    <x v="7"/>
    <s v="Cust_487"/>
    <x v="293"/>
    <n v="0.05"/>
    <n v="12"/>
    <n v="-351.3"/>
    <n v="58.2"/>
    <n v="0.57999999999999996"/>
  </r>
  <r>
    <x v="183"/>
    <x v="102"/>
    <s v="LOW"/>
    <s v="Prod_11"/>
    <x v="1"/>
    <x v="14"/>
    <s v="Cust_487"/>
    <x v="294"/>
    <n v="0.04"/>
    <n v="11"/>
    <n v="-139.27000000000001"/>
    <n v="61.76"/>
    <n v="0.78"/>
  </r>
  <r>
    <x v="184"/>
    <x v="103"/>
    <s v="HIGH"/>
    <s v="Prod_17"/>
    <x v="2"/>
    <x v="13"/>
    <s v="Cust_1145"/>
    <x v="295"/>
    <n v="0.08"/>
    <n v="45"/>
    <n v="2872.88"/>
    <n v="13.99"/>
    <n v="0.38"/>
  </r>
  <r>
    <x v="184"/>
    <x v="103"/>
    <s v="HIGH"/>
    <s v="Prod_5"/>
    <x v="1"/>
    <x v="2"/>
    <s v="Cust_401"/>
    <x v="296"/>
    <n v="0.08"/>
    <n v="1"/>
    <n v="-6.96"/>
    <n v="4.9800000000000004"/>
    <n v="0.48"/>
  </r>
  <r>
    <x v="185"/>
    <x v="104"/>
    <s v="HIGH"/>
    <s v="Prod_17"/>
    <x v="2"/>
    <x v="13"/>
    <s v="Cust_483"/>
    <x v="297"/>
    <n v="0"/>
    <n v="37"/>
    <n v="8291.08"/>
    <n v="69.3"/>
    <n v="0.37"/>
  </r>
  <r>
    <x v="186"/>
    <x v="105"/>
    <s v="CRITICAL"/>
    <s v="Prod_6"/>
    <x v="0"/>
    <x v="0"/>
    <s v="Cust_396"/>
    <x v="298"/>
    <n v="0.08"/>
    <n v="43"/>
    <n v="-212.51"/>
    <n v="8.4"/>
    <n v="0.37"/>
  </r>
  <r>
    <x v="187"/>
    <x v="106"/>
    <s v="NOT SPECIFIED"/>
    <s v="Prod_13"/>
    <x v="0"/>
    <x v="9"/>
    <s v="Cust_402"/>
    <x v="299"/>
    <n v="0.08"/>
    <n v="37"/>
    <n v="28.76"/>
    <n v="2.35"/>
    <n v="0.47"/>
  </r>
  <r>
    <x v="188"/>
    <x v="107"/>
    <s v="CRITICAL"/>
    <s v="Prod_3"/>
    <x v="0"/>
    <x v="1"/>
    <s v="Cust_401"/>
    <x v="300"/>
    <n v="0.1"/>
    <n v="17"/>
    <n v="54.63"/>
    <n v="11.63"/>
    <n v="0.37"/>
  </r>
  <r>
    <x v="189"/>
    <x v="108"/>
    <s v="NOT SPECIFIED"/>
    <s v="Prod_12"/>
    <x v="0"/>
    <x v="15"/>
    <s v="Cust_467"/>
    <x v="301"/>
    <n v="0.02"/>
    <n v="9"/>
    <n v="-38.9"/>
    <n v="6.89"/>
    <n v="0.39"/>
  </r>
  <r>
    <x v="190"/>
    <x v="108"/>
    <s v="CRITICAL"/>
    <s v="Prod_6"/>
    <x v="0"/>
    <x v="0"/>
    <s v="Cust_521"/>
    <x v="302"/>
    <n v="0.02"/>
    <n v="39"/>
    <n v="-87.52"/>
    <n v="6.41"/>
    <n v="0.37"/>
  </r>
  <r>
    <x v="190"/>
    <x v="108"/>
    <s v="CRITICAL"/>
    <s v="Prod_1"/>
    <x v="0"/>
    <x v="3"/>
    <s v="Cust_521"/>
    <x v="303"/>
    <n v="0.05"/>
    <n v="38"/>
    <n v="-1348.5"/>
    <n v="45"/>
    <n v="0.61"/>
  </r>
  <r>
    <x v="191"/>
    <x v="109"/>
    <s v="MEDIUM"/>
    <s v="Prod_6"/>
    <x v="0"/>
    <x v="0"/>
    <s v="Cust_556"/>
    <x v="304"/>
    <n v="0.08"/>
    <n v="4"/>
    <n v="-12.03"/>
    <n v="5.03"/>
    <n v="0.37"/>
  </r>
  <r>
    <x v="192"/>
    <x v="110"/>
    <s v="LOW"/>
    <s v="Prod_3"/>
    <x v="0"/>
    <x v="1"/>
    <s v="Cust_14"/>
    <x v="305"/>
    <n v="0.1"/>
    <n v="33"/>
    <n v="-172.88"/>
    <n v="13.18"/>
    <n v="0.37"/>
  </r>
  <r>
    <x v="192"/>
    <x v="110"/>
    <s v="LOW"/>
    <s v="Prod_8"/>
    <x v="2"/>
    <x v="8"/>
    <s v="Cust_14"/>
    <x v="306"/>
    <n v="0.05"/>
    <n v="38"/>
    <n v="-144.55000000000001"/>
    <n v="4.93"/>
    <n v="0.66"/>
  </r>
  <r>
    <x v="193"/>
    <x v="110"/>
    <s v="CRITICAL"/>
    <s v="Prod_6"/>
    <x v="0"/>
    <x v="0"/>
    <s v="Cust_566"/>
    <x v="307"/>
    <n v="0.08"/>
    <n v="3"/>
    <n v="-12.19"/>
    <n v="5.14"/>
    <n v="0.37"/>
  </r>
  <r>
    <x v="193"/>
    <x v="110"/>
    <s v="CRITICAL"/>
    <s v="Prod_16"/>
    <x v="0"/>
    <x v="10"/>
    <s v="Cust_566"/>
    <x v="308"/>
    <n v="0.04"/>
    <n v="16"/>
    <n v="1.72"/>
    <n v="2.64"/>
    <n v="0.59"/>
  </r>
  <r>
    <x v="193"/>
    <x v="110"/>
    <s v="CRITICAL"/>
    <s v="Prod_1"/>
    <x v="0"/>
    <x v="3"/>
    <s v="Cust_566"/>
    <x v="309"/>
    <n v="0.01"/>
    <n v="18"/>
    <n v="-468.64"/>
    <n v="35"/>
    <n v="0.8"/>
  </r>
  <r>
    <x v="194"/>
    <x v="111"/>
    <s v="HIGH"/>
    <s v="Prod_3"/>
    <x v="0"/>
    <x v="1"/>
    <s v="Cust_541"/>
    <x v="310"/>
    <n v="0.03"/>
    <n v="8"/>
    <n v="4.08"/>
    <n v="1.49"/>
    <n v="0.35"/>
  </r>
  <r>
    <x v="195"/>
    <x v="111"/>
    <s v="CRITICAL"/>
    <s v="Prod_13"/>
    <x v="0"/>
    <x v="9"/>
    <s v="Cust_551"/>
    <x v="311"/>
    <n v="0.1"/>
    <n v="21"/>
    <n v="-6.85"/>
    <n v="1.1200000000000001"/>
    <n v="0.57999999999999996"/>
  </r>
  <r>
    <x v="196"/>
    <x v="111"/>
    <s v="MEDIUM"/>
    <s v="Prod_3"/>
    <x v="0"/>
    <x v="1"/>
    <s v="Cust_567"/>
    <x v="312"/>
    <n v="0.1"/>
    <n v="27"/>
    <n v="-75.13"/>
    <n v="4.97"/>
    <n v="0.38"/>
  </r>
  <r>
    <x v="196"/>
    <x v="111"/>
    <s v="MEDIUM"/>
    <s v="Prod_8"/>
    <x v="2"/>
    <x v="8"/>
    <s v="Cust_567"/>
    <x v="313"/>
    <n v="0.01"/>
    <n v="43"/>
    <n v="518.80999999999995"/>
    <n v="1.99"/>
    <n v="0.4"/>
  </r>
  <r>
    <x v="197"/>
    <x v="111"/>
    <s v="NOT SPECIFIED"/>
    <s v="Prod_1"/>
    <x v="0"/>
    <x v="3"/>
    <s v="Cust_73"/>
    <x v="314"/>
    <n v="0"/>
    <n v="8"/>
    <n v="6.41"/>
    <n v="8.2200000000000006"/>
    <n v="0.56999999999999995"/>
  </r>
  <r>
    <x v="197"/>
    <x v="111"/>
    <s v="NOT SPECIFIED"/>
    <s v="Prod_4"/>
    <x v="2"/>
    <x v="11"/>
    <s v="Cust_73"/>
    <x v="315"/>
    <n v="7.0000000000000007E-2"/>
    <n v="29"/>
    <n v="-183.68"/>
    <n v="5"/>
    <n v="0.83"/>
  </r>
  <r>
    <x v="198"/>
    <x v="112"/>
    <s v="MEDIUM"/>
    <s v="Prod_3"/>
    <x v="0"/>
    <x v="1"/>
    <s v="Cust_518"/>
    <x v="316"/>
    <n v="7.0000000000000007E-2"/>
    <n v="19"/>
    <n v="-10.26"/>
    <n v="1.49"/>
    <n v="0.37"/>
  </r>
  <r>
    <x v="199"/>
    <x v="112"/>
    <s v="NOT SPECIFIED"/>
    <s v="Prod_13"/>
    <x v="0"/>
    <x v="9"/>
    <s v="Cust_62"/>
    <x v="317"/>
    <n v="0.09"/>
    <n v="10"/>
    <n v="4.45"/>
    <n v="0.73"/>
    <n v="0.56000000000000005"/>
  </r>
  <r>
    <x v="199"/>
    <x v="112"/>
    <s v="NOT SPECIFIED"/>
    <s v="Prod_16"/>
    <x v="0"/>
    <x v="10"/>
    <s v="Cust_62"/>
    <x v="318"/>
    <n v="0.04"/>
    <n v="1"/>
    <n v="-3.06"/>
    <n v="1.32"/>
    <n v="0.83"/>
  </r>
  <r>
    <x v="200"/>
    <x v="113"/>
    <s v="HIGH"/>
    <s v="Prod_15"/>
    <x v="1"/>
    <x v="7"/>
    <s v="Cust_468"/>
    <x v="319"/>
    <n v="0"/>
    <n v="27"/>
    <n v="2245.2399999999998"/>
    <n v="58.95"/>
    <n v="0.56999999999999995"/>
  </r>
  <r>
    <x v="200"/>
    <x v="113"/>
    <s v="HIGH"/>
    <s v="Prod_4"/>
    <x v="2"/>
    <x v="11"/>
    <s v="Cust_468"/>
    <x v="320"/>
    <n v="0.1"/>
    <n v="13"/>
    <n v="-161.12"/>
    <n v="3"/>
    <n v="0.59"/>
  </r>
  <r>
    <x v="200"/>
    <x v="113"/>
    <s v="HIGH"/>
    <s v="Prod_6"/>
    <x v="0"/>
    <x v="0"/>
    <s v="Cust_468"/>
    <x v="321"/>
    <n v="0.02"/>
    <n v="1"/>
    <n v="-1.82"/>
    <n v="0.88"/>
    <n v="0.39"/>
  </r>
  <r>
    <x v="200"/>
    <x v="113"/>
    <s v="HIGH"/>
    <s v="Prod_13"/>
    <x v="0"/>
    <x v="9"/>
    <s v="Cust_468"/>
    <x v="322"/>
    <n v="0.08"/>
    <n v="42"/>
    <n v="25.88"/>
    <n v="0.94"/>
    <n v="0.56000000000000005"/>
  </r>
  <r>
    <x v="201"/>
    <x v="113"/>
    <s v="HIGH"/>
    <s v="Prod_6"/>
    <x v="0"/>
    <x v="0"/>
    <s v="Cust_507"/>
    <x v="323"/>
    <n v="0.09"/>
    <n v="27"/>
    <n v="-14.03"/>
    <n v="6.47"/>
    <n v="0.38"/>
  </r>
  <r>
    <x v="202"/>
    <x v="114"/>
    <s v="CRITICAL"/>
    <s v="Prod_6"/>
    <x v="0"/>
    <x v="0"/>
    <s v="Cust_440"/>
    <x v="324"/>
    <n v="7.0000000000000007E-2"/>
    <n v="11"/>
    <n v="25.96"/>
    <n v="1.79"/>
    <n v="0.38"/>
  </r>
  <r>
    <x v="203"/>
    <x v="114"/>
    <s v="NOT SPECIFIED"/>
    <s v="Prod_13"/>
    <x v="0"/>
    <x v="9"/>
    <s v="Cust_480"/>
    <x v="325"/>
    <n v="0.1"/>
    <n v="8"/>
    <n v="-38.89"/>
    <n v="8.99"/>
    <n v="0.57999999999999996"/>
  </r>
  <r>
    <x v="204"/>
    <x v="114"/>
    <s v="NOT SPECIFIED"/>
    <s v="Prod_10"/>
    <x v="1"/>
    <x v="4"/>
    <s v="Cust_495"/>
    <x v="326"/>
    <n v="0.05"/>
    <n v="10"/>
    <n v="-203.9"/>
    <n v="36.61"/>
    <n v="0.61"/>
  </r>
  <r>
    <x v="205"/>
    <x v="114"/>
    <s v="NOT SPECIFIED"/>
    <s v="Prod_7"/>
    <x v="0"/>
    <x v="5"/>
    <s v="Cust_536"/>
    <x v="327"/>
    <n v="0.04"/>
    <n v="3"/>
    <n v="-3.86"/>
    <n v="1.58"/>
    <n v="0.39"/>
  </r>
  <r>
    <x v="205"/>
    <x v="114"/>
    <s v="NOT SPECIFIED"/>
    <s v="Prod_7"/>
    <x v="0"/>
    <x v="5"/>
    <s v="Cust_536"/>
    <x v="328"/>
    <n v="7.0000000000000007E-2"/>
    <n v="2"/>
    <n v="-10.24"/>
    <n v="3.37"/>
    <n v="0.54"/>
  </r>
  <r>
    <x v="206"/>
    <x v="115"/>
    <s v="HIGH"/>
    <s v="Prod_3"/>
    <x v="0"/>
    <x v="1"/>
    <s v="Cust_465"/>
    <x v="329"/>
    <n v="0.04"/>
    <n v="22"/>
    <n v="-72.91"/>
    <n v="5.41"/>
    <n v="0.35"/>
  </r>
  <r>
    <x v="207"/>
    <x v="115"/>
    <s v="CRITICAL"/>
    <s v="Prod_3"/>
    <x v="0"/>
    <x v="1"/>
    <s v="Cust_511"/>
    <x v="330"/>
    <n v="0.1"/>
    <n v="10"/>
    <n v="323.32"/>
    <n v="9.07"/>
    <n v="0.35"/>
  </r>
  <r>
    <x v="207"/>
    <x v="115"/>
    <s v="CRITICAL"/>
    <s v="Prod_8"/>
    <x v="2"/>
    <x v="8"/>
    <s v="Cust_511"/>
    <x v="331"/>
    <n v="0.02"/>
    <n v="2"/>
    <n v="-522.78"/>
    <n v="6.5"/>
    <n v="0.74"/>
  </r>
  <r>
    <x v="208"/>
    <x v="115"/>
    <s v="LOW"/>
    <s v="Prod_2"/>
    <x v="0"/>
    <x v="12"/>
    <s v="Cust_553"/>
    <x v="332"/>
    <n v="0"/>
    <n v="21"/>
    <n v="161.72"/>
    <n v="13.22"/>
    <n v="0.56000000000000005"/>
  </r>
  <r>
    <x v="209"/>
    <x v="115"/>
    <s v="NOT SPECIFIED"/>
    <s v="Prod_3"/>
    <x v="0"/>
    <x v="1"/>
    <s v="Cust_80"/>
    <x v="333"/>
    <n v="0.05"/>
    <n v="30"/>
    <n v="15.73"/>
    <n v="1.49"/>
    <n v="0.38"/>
  </r>
  <r>
    <x v="209"/>
    <x v="115"/>
    <s v="NOT SPECIFIED"/>
    <s v="Prod_8"/>
    <x v="2"/>
    <x v="8"/>
    <s v="Cust_80"/>
    <x v="334"/>
    <n v="0.09"/>
    <n v="15"/>
    <n v="-92.58"/>
    <n v="4"/>
    <n v="0.75"/>
  </r>
  <r>
    <x v="209"/>
    <x v="115"/>
    <s v="NOT SPECIFIED"/>
    <s v="Prod_4"/>
    <x v="2"/>
    <x v="11"/>
    <s v="Cust_80"/>
    <x v="335"/>
    <n v="0"/>
    <n v="49"/>
    <n v="1465.87"/>
    <n v="8.08"/>
    <n v="0.56999999999999995"/>
  </r>
  <r>
    <x v="210"/>
    <x v="116"/>
    <s v="MEDIUM"/>
    <s v="Prod_8"/>
    <x v="2"/>
    <x v="8"/>
    <s v="Cust_417"/>
    <x v="336"/>
    <n v="0.02"/>
    <n v="31"/>
    <n v="-117.92"/>
    <n v="5.53"/>
    <n v="0.69"/>
  </r>
  <r>
    <x v="211"/>
    <x v="116"/>
    <s v="HIGH"/>
    <s v="Prod_6"/>
    <x v="0"/>
    <x v="0"/>
    <s v="Cust_498"/>
    <x v="337"/>
    <n v="0.02"/>
    <n v="4"/>
    <n v="-10.7"/>
    <n v="5.15"/>
    <n v="0.36"/>
  </r>
  <r>
    <x v="212"/>
    <x v="116"/>
    <s v="NOT SPECIFIED"/>
    <s v="Prod_4"/>
    <x v="2"/>
    <x v="11"/>
    <s v="Cust_523"/>
    <x v="338"/>
    <n v="0.01"/>
    <n v="7"/>
    <n v="-396.17"/>
    <n v="4.2"/>
    <n v="0.59"/>
  </r>
  <r>
    <x v="213"/>
    <x v="117"/>
    <s v="MEDIUM"/>
    <s v="Prod_2"/>
    <x v="0"/>
    <x v="12"/>
    <s v="Cust_411"/>
    <x v="339"/>
    <n v="0.09"/>
    <n v="4"/>
    <n v="-30.27"/>
    <n v="4.62"/>
    <n v="0.56000000000000005"/>
  </r>
  <r>
    <x v="213"/>
    <x v="117"/>
    <s v="MEDIUM"/>
    <s v="Prod_13"/>
    <x v="0"/>
    <x v="9"/>
    <s v="Cust_411"/>
    <x v="340"/>
    <n v="0.03"/>
    <n v="28"/>
    <n v="-37.299999999999997"/>
    <n v="5.81"/>
    <n v="0.6"/>
  </r>
  <r>
    <x v="214"/>
    <x v="117"/>
    <s v="NOT SPECIFIED"/>
    <s v="Prod_13"/>
    <x v="0"/>
    <x v="9"/>
    <s v="Cust_520"/>
    <x v="341"/>
    <n v="0.04"/>
    <n v="47"/>
    <n v="327.9"/>
    <n v="8.99"/>
    <n v="0.59"/>
  </r>
  <r>
    <x v="215"/>
    <x v="118"/>
    <s v="CRITICAL"/>
    <s v="Prod_3"/>
    <x v="0"/>
    <x v="1"/>
    <s v="Cust_382"/>
    <x v="342"/>
    <n v="0.04"/>
    <n v="13"/>
    <n v="-9.2799999999999994"/>
    <n v="4.71"/>
    <n v="0.35"/>
  </r>
  <r>
    <x v="216"/>
    <x v="119"/>
    <s v="MEDIUM"/>
    <s v="Prod_5"/>
    <x v="1"/>
    <x v="2"/>
    <s v="Cust_374"/>
    <x v="343"/>
    <n v="7.0000000000000007E-2"/>
    <n v="49"/>
    <n v="100.8"/>
    <n v="8.66"/>
    <n v="0.76"/>
  </r>
  <r>
    <x v="217"/>
    <x v="120"/>
    <s v="MEDIUM"/>
    <s v="Prod_6"/>
    <x v="0"/>
    <x v="0"/>
    <s v="Cust_75"/>
    <x v="344"/>
    <n v="0.01"/>
    <n v="6"/>
    <n v="-42.38"/>
    <n v="16.87"/>
    <n v="0.39"/>
  </r>
  <r>
    <x v="218"/>
    <x v="121"/>
    <s v="LOW"/>
    <s v="Prod_8"/>
    <x v="2"/>
    <x v="8"/>
    <s v="Cust_411"/>
    <x v="345"/>
    <n v="0.05"/>
    <n v="43"/>
    <n v="-154.24"/>
    <n v="8.65"/>
    <n v="0.74"/>
  </r>
  <r>
    <x v="218"/>
    <x v="121"/>
    <s v="LOW"/>
    <s v="Prod_1"/>
    <x v="0"/>
    <x v="3"/>
    <s v="Cust_411"/>
    <x v="346"/>
    <n v="0.01"/>
    <n v="3"/>
    <n v="-179.36"/>
    <n v="19.989999999999998"/>
    <n v="0.66"/>
  </r>
  <r>
    <x v="219"/>
    <x v="121"/>
    <s v="HIGH"/>
    <s v="Prod_3"/>
    <x v="0"/>
    <x v="1"/>
    <s v="Cust_458"/>
    <x v="347"/>
    <n v="0.06"/>
    <n v="12"/>
    <n v="-58.33"/>
    <n v="6.98"/>
    <n v="0.39"/>
  </r>
  <r>
    <x v="219"/>
    <x v="121"/>
    <s v="HIGH"/>
    <s v="Prod_5"/>
    <x v="1"/>
    <x v="2"/>
    <s v="Cust_458"/>
    <x v="348"/>
    <n v="0.08"/>
    <n v="35"/>
    <n v="73.569999999999993"/>
    <n v="5.16"/>
    <n v="0.43"/>
  </r>
  <r>
    <x v="219"/>
    <x v="121"/>
    <s v="HIGH"/>
    <s v="Prod_13"/>
    <x v="0"/>
    <x v="9"/>
    <s v="Cust_458"/>
    <x v="349"/>
    <n v="0.1"/>
    <n v="12"/>
    <n v="9.18"/>
    <n v="0.7"/>
    <n v="0.44"/>
  </r>
  <r>
    <x v="219"/>
    <x v="121"/>
    <s v="HIGH"/>
    <s v="Prod_6"/>
    <x v="0"/>
    <x v="0"/>
    <s v="Cust_458"/>
    <x v="350"/>
    <n v="0.06"/>
    <n v="3"/>
    <n v="-10.37"/>
    <n v="4.79"/>
    <n v="0.4"/>
  </r>
  <r>
    <x v="220"/>
    <x v="121"/>
    <s v="LOW"/>
    <s v="Prod_3"/>
    <x v="0"/>
    <x v="1"/>
    <s v="Cust_514"/>
    <x v="351"/>
    <n v="0.04"/>
    <n v="36"/>
    <n v="-110.16"/>
    <n v="5.74"/>
    <n v="0.36"/>
  </r>
  <r>
    <x v="220"/>
    <x v="121"/>
    <s v="LOW"/>
    <s v="Prod_4"/>
    <x v="2"/>
    <x v="11"/>
    <s v="Cust_514"/>
    <x v="352"/>
    <n v="0.02"/>
    <n v="26"/>
    <n v="183.24"/>
    <n v="8.8000000000000007"/>
    <n v="0.57999999999999996"/>
  </r>
  <r>
    <x v="220"/>
    <x v="121"/>
    <s v="LOW"/>
    <s v="Prod_9"/>
    <x v="0"/>
    <x v="6"/>
    <s v="Cust_514"/>
    <x v="353"/>
    <n v="0.08"/>
    <n v="3"/>
    <n v="-5.05"/>
    <n v="1.39"/>
    <n v="0.35"/>
  </r>
  <r>
    <x v="221"/>
    <x v="121"/>
    <s v="MEDIUM"/>
    <s v="Prod_6"/>
    <x v="0"/>
    <x v="0"/>
    <s v="Cust_518"/>
    <x v="354"/>
    <n v="0.06"/>
    <n v="21"/>
    <n v="-53.33"/>
    <n v="5.49"/>
    <n v="0.38"/>
  </r>
  <r>
    <x v="221"/>
    <x v="121"/>
    <s v="MEDIUM"/>
    <s v="Prod_8"/>
    <x v="2"/>
    <x v="8"/>
    <s v="Cust_518"/>
    <x v="355"/>
    <n v="0.03"/>
    <n v="24"/>
    <n v="44.14"/>
    <n v="1.99"/>
    <n v="0.43"/>
  </r>
  <r>
    <x v="222"/>
    <x v="121"/>
    <s v="CRITICAL"/>
    <s v="Prod_5"/>
    <x v="1"/>
    <x v="2"/>
    <s v="Cust_521"/>
    <x v="356"/>
    <n v="0.01"/>
    <n v="24"/>
    <n v="73.33"/>
    <n v="0.96"/>
    <n v="0.43"/>
  </r>
  <r>
    <x v="222"/>
    <x v="121"/>
    <s v="CRITICAL"/>
    <s v="Prod_13"/>
    <x v="0"/>
    <x v="9"/>
    <s v="Cust_521"/>
    <x v="357"/>
    <n v="0.06"/>
    <n v="19"/>
    <n v="-53.75"/>
    <n v="3.97"/>
    <n v="0.56000000000000005"/>
  </r>
  <r>
    <x v="223"/>
    <x v="122"/>
    <s v="MEDIUM"/>
    <s v="Prod_4"/>
    <x v="2"/>
    <x v="11"/>
    <s v="Cust_470"/>
    <x v="358"/>
    <n v="0.04"/>
    <n v="18"/>
    <n v="4.21"/>
    <n v="10.78"/>
    <n v="0.57999999999999996"/>
  </r>
  <r>
    <x v="224"/>
    <x v="122"/>
    <s v="MEDIUM"/>
    <s v="Prod_3"/>
    <x v="0"/>
    <x v="1"/>
    <s v="Cust_502"/>
    <x v="359"/>
    <n v="0.06"/>
    <n v="22"/>
    <n v="-48.22"/>
    <n v="5.19"/>
    <n v="0.38"/>
  </r>
  <r>
    <x v="225"/>
    <x v="122"/>
    <s v="MEDIUM"/>
    <s v="Prod_13"/>
    <x v="0"/>
    <x v="9"/>
    <s v="Cust_535"/>
    <x v="360"/>
    <n v="0.08"/>
    <n v="20"/>
    <n v="10.56"/>
    <n v="1.56"/>
    <n v="0.52"/>
  </r>
  <r>
    <x v="226"/>
    <x v="123"/>
    <s v="HIGH"/>
    <s v="Prod_6"/>
    <x v="0"/>
    <x v="0"/>
    <s v="Cust_496"/>
    <x v="361"/>
    <n v="0.08"/>
    <n v="46"/>
    <n v="752.87"/>
    <n v="13.88"/>
    <n v="0.36"/>
  </r>
  <r>
    <x v="226"/>
    <x v="123"/>
    <s v="HIGH"/>
    <s v="Prod_6"/>
    <x v="0"/>
    <x v="0"/>
    <s v="Cust_496"/>
    <x v="362"/>
    <n v="0.05"/>
    <n v="36"/>
    <n v="-46.43"/>
    <n v="4.96"/>
    <n v="0.36"/>
  </r>
  <r>
    <x v="227"/>
    <x v="123"/>
    <s v="MEDIUM"/>
    <s v="Prod_5"/>
    <x v="1"/>
    <x v="2"/>
    <s v="Cust_540"/>
    <x v="363"/>
    <n v="7.0000000000000007E-2"/>
    <n v="23"/>
    <n v="152.79"/>
    <n v="6.15"/>
    <n v="0.44"/>
  </r>
  <r>
    <x v="227"/>
    <x v="123"/>
    <s v="MEDIUM"/>
    <s v="Prod_4"/>
    <x v="2"/>
    <x v="11"/>
    <s v="Cust_540"/>
    <x v="364"/>
    <n v="0.08"/>
    <n v="17"/>
    <n v="137.59"/>
    <n v="0.99"/>
    <n v="0.55000000000000004"/>
  </r>
  <r>
    <x v="228"/>
    <x v="124"/>
    <s v="NOT SPECIFIED"/>
    <s v="Prod_17"/>
    <x v="2"/>
    <x v="13"/>
    <s v="Cust_366"/>
    <x v="365"/>
    <n v="0.1"/>
    <n v="30"/>
    <n v="-9.4499999999999993"/>
    <n v="33.6"/>
    <n v="0.37"/>
  </r>
  <r>
    <x v="228"/>
    <x v="124"/>
    <s v="NOT SPECIFIED"/>
    <s v="Prod_6"/>
    <x v="0"/>
    <x v="0"/>
    <s v="Cust_366"/>
    <x v="366"/>
    <n v="7.0000000000000007E-2"/>
    <n v="25"/>
    <n v="-117.86"/>
    <n v="9.86"/>
    <n v="0.4"/>
  </r>
  <r>
    <x v="229"/>
    <x v="124"/>
    <s v="NOT SPECIFIED"/>
    <s v="Prod_2"/>
    <x v="0"/>
    <x v="12"/>
    <s v="Cust_445"/>
    <x v="367"/>
    <n v="0.05"/>
    <n v="29"/>
    <n v="772.04"/>
    <n v="91.05"/>
    <n v="0.56999999999999995"/>
  </r>
  <r>
    <x v="230"/>
    <x v="124"/>
    <s v="MEDIUM"/>
    <s v="Prod_13"/>
    <x v="0"/>
    <x v="9"/>
    <s v="Cust_473"/>
    <x v="368"/>
    <n v="0.04"/>
    <n v="31"/>
    <n v="21.73"/>
    <n v="0.81"/>
    <n v="0.4"/>
  </r>
  <r>
    <x v="230"/>
    <x v="124"/>
    <s v="MEDIUM"/>
    <s v="Prod_4"/>
    <x v="2"/>
    <x v="11"/>
    <s v="Cust_473"/>
    <x v="369"/>
    <n v="0.05"/>
    <n v="50"/>
    <n v="829.65"/>
    <n v="1.25"/>
    <n v="0.36"/>
  </r>
  <r>
    <x v="231"/>
    <x v="124"/>
    <s v="CRITICAL"/>
    <s v="Prod_3"/>
    <x v="0"/>
    <x v="1"/>
    <s v="Cust_501"/>
    <x v="370"/>
    <n v="0.08"/>
    <n v="24"/>
    <n v="1336.96"/>
    <n v="19.989999999999998"/>
    <n v="0.4"/>
  </r>
  <r>
    <x v="231"/>
    <x v="124"/>
    <s v="CRITICAL"/>
    <s v="Prod_6"/>
    <x v="0"/>
    <x v="0"/>
    <s v="Cust_501"/>
    <x v="371"/>
    <n v="0"/>
    <n v="16"/>
    <n v="355"/>
    <n v="5.81"/>
    <n v="0.38"/>
  </r>
  <r>
    <x v="232"/>
    <x v="124"/>
    <s v="MEDIUM"/>
    <s v="Prod_2"/>
    <x v="0"/>
    <x v="12"/>
    <s v="Cust_536"/>
    <x v="372"/>
    <n v="0.08"/>
    <n v="43"/>
    <n v="-1987.49"/>
    <n v="49"/>
    <n v="0.6"/>
  </r>
  <r>
    <x v="232"/>
    <x v="124"/>
    <s v="MEDIUM"/>
    <s v="Prod_5"/>
    <x v="1"/>
    <x v="2"/>
    <s v="Cust_536"/>
    <x v="373"/>
    <n v="0"/>
    <n v="10"/>
    <n v="49.85"/>
    <n v="8.99"/>
    <n v="0.47"/>
  </r>
  <r>
    <x v="233"/>
    <x v="124"/>
    <s v="NOT SPECIFIED"/>
    <s v="Prod_13"/>
    <x v="0"/>
    <x v="9"/>
    <s v="Cust_544"/>
    <x v="374"/>
    <n v="0.04"/>
    <n v="29"/>
    <n v="24.59"/>
    <n v="2.35"/>
    <n v="0.47"/>
  </r>
  <r>
    <x v="234"/>
    <x v="125"/>
    <s v="LOW"/>
    <s v="Prod_8"/>
    <x v="2"/>
    <x v="8"/>
    <s v="Cust_419"/>
    <x v="375"/>
    <n v="0.08"/>
    <n v="49"/>
    <n v="-82.64"/>
    <n v="2.74"/>
    <n v="0.71"/>
  </r>
  <r>
    <x v="235"/>
    <x v="125"/>
    <s v="HIGH"/>
    <s v="Prod_8"/>
    <x v="2"/>
    <x v="8"/>
    <s v="Cust_444"/>
    <x v="376"/>
    <n v="0.03"/>
    <n v="39"/>
    <n v="471.35"/>
    <n v="1.99"/>
    <n v="0.54"/>
  </r>
  <r>
    <x v="235"/>
    <x v="125"/>
    <s v="HIGH"/>
    <s v="Prod_6"/>
    <x v="0"/>
    <x v="0"/>
    <s v="Cust_444"/>
    <x v="377"/>
    <n v="0.06"/>
    <n v="39"/>
    <n v="14.13"/>
    <n v="1.93"/>
    <n v="0.35"/>
  </r>
  <r>
    <x v="236"/>
    <x v="126"/>
    <s v="NOT SPECIFIED"/>
    <s v="Prod_3"/>
    <x v="0"/>
    <x v="1"/>
    <s v="Cust_472"/>
    <x v="378"/>
    <n v="0.05"/>
    <n v="14"/>
    <n v="-9.18"/>
    <n v="5.6"/>
    <n v="0.36"/>
  </r>
  <r>
    <x v="237"/>
    <x v="126"/>
    <s v="MEDIUM"/>
    <s v="Prod_13"/>
    <x v="0"/>
    <x v="9"/>
    <s v="Cust_515"/>
    <x v="379"/>
    <n v="0.03"/>
    <n v="49"/>
    <n v="19.87"/>
    <n v="0.7"/>
    <n v="0.56000000000000005"/>
  </r>
  <r>
    <x v="237"/>
    <x v="126"/>
    <s v="MEDIUM"/>
    <s v="Prod_3"/>
    <x v="0"/>
    <x v="1"/>
    <s v="Cust_515"/>
    <x v="380"/>
    <n v="0.08"/>
    <n v="39"/>
    <n v="-30.27"/>
    <n v="2.99"/>
    <n v="0.37"/>
  </r>
  <r>
    <x v="238"/>
    <x v="127"/>
    <s v="MEDIUM"/>
    <s v="Prod_3"/>
    <x v="0"/>
    <x v="1"/>
    <s v="Cust_362"/>
    <x v="381"/>
    <n v="0.03"/>
    <n v="8"/>
    <n v="-17.95"/>
    <n v="5.74"/>
    <n v="0.36"/>
  </r>
  <r>
    <x v="239"/>
    <x v="128"/>
    <s v="LOW"/>
    <s v="Prod_3"/>
    <x v="0"/>
    <x v="1"/>
    <s v="Cust_1064"/>
    <x v="382"/>
    <n v="0"/>
    <n v="16"/>
    <n v="-52.65"/>
    <n v="15.1"/>
    <n v="0.38"/>
  </r>
  <r>
    <x v="239"/>
    <x v="128"/>
    <s v="LOW"/>
    <s v="Prod_1"/>
    <x v="0"/>
    <x v="3"/>
    <s v="Cust_1064"/>
    <x v="383"/>
    <n v="7.0000000000000007E-2"/>
    <n v="6"/>
    <n v="-24.44"/>
    <n v="4.6900000000000004"/>
    <n v="0.68"/>
  </r>
  <r>
    <x v="240"/>
    <x v="128"/>
    <s v="HIGH"/>
    <s v="Prod_1"/>
    <x v="0"/>
    <x v="3"/>
    <s v="Cust_536"/>
    <x v="384"/>
    <n v="0.02"/>
    <n v="26"/>
    <n v="755.95"/>
    <n v="28.66"/>
    <n v="0.72"/>
  </r>
  <r>
    <x v="241"/>
    <x v="128"/>
    <s v="CRITICAL"/>
    <s v="Prod_5"/>
    <x v="1"/>
    <x v="2"/>
    <s v="Cust_85"/>
    <x v="385"/>
    <n v="0.01"/>
    <n v="23"/>
    <n v="51.9"/>
    <n v="14.45"/>
    <n v="0.56999999999999995"/>
  </r>
  <r>
    <x v="241"/>
    <x v="128"/>
    <s v="CRITICAL"/>
    <s v="Prod_11"/>
    <x v="1"/>
    <x v="14"/>
    <s v="Cust_85"/>
    <x v="386"/>
    <n v="0.04"/>
    <n v="17"/>
    <n v="1418.36"/>
    <n v="60"/>
    <s v="NA"/>
  </r>
  <r>
    <x v="239"/>
    <x v="128"/>
    <s v="LOW"/>
    <s v="Prod_4"/>
    <x v="2"/>
    <x v="11"/>
    <s v="Cust_89"/>
    <x v="387"/>
    <n v="0.02"/>
    <n v="35"/>
    <n v="366.51"/>
    <n v="3.3"/>
    <n v="0.59"/>
  </r>
  <r>
    <x v="242"/>
    <x v="129"/>
    <s v="HIGH"/>
    <s v="Prod_1"/>
    <x v="0"/>
    <x v="3"/>
    <s v="Cust_532"/>
    <x v="388"/>
    <n v="0.04"/>
    <n v="14"/>
    <n v="320.10000000000002"/>
    <n v="11.87"/>
    <n v="0.62"/>
  </r>
  <r>
    <x v="243"/>
    <x v="129"/>
    <s v="HIGH"/>
    <s v="Prod_5"/>
    <x v="1"/>
    <x v="2"/>
    <s v="Cust_534"/>
    <x v="389"/>
    <n v="0.06"/>
    <n v="5"/>
    <n v="319.64"/>
    <n v="13.99"/>
    <n v="0.65"/>
  </r>
  <r>
    <x v="243"/>
    <x v="129"/>
    <s v="HIGH"/>
    <s v="Prod_13"/>
    <x v="0"/>
    <x v="9"/>
    <s v="Cust_534"/>
    <x v="390"/>
    <n v="0.1"/>
    <n v="37"/>
    <n v="99.79"/>
    <n v="8.99"/>
    <n v="0.56000000000000005"/>
  </r>
  <r>
    <x v="244"/>
    <x v="130"/>
    <s v="MEDIUM"/>
    <s v="Prod_6"/>
    <x v="0"/>
    <x v="0"/>
    <s v="Cust_462"/>
    <x v="391"/>
    <n v="0"/>
    <n v="23"/>
    <n v="51.43"/>
    <n v="2"/>
    <n v="0.39"/>
  </r>
  <r>
    <x v="245"/>
    <x v="130"/>
    <s v="HIGH"/>
    <s v="Prod_15"/>
    <x v="1"/>
    <x v="7"/>
    <s v="Cust_529"/>
    <x v="392"/>
    <n v="0"/>
    <n v="32"/>
    <n v="764.95"/>
    <n v="64.2"/>
    <n v="0.59"/>
  </r>
  <r>
    <x v="246"/>
    <x v="131"/>
    <s v="LOW"/>
    <s v="Prod_1"/>
    <x v="0"/>
    <x v="3"/>
    <s v="Cust_1"/>
    <x v="393"/>
    <n v="0.04"/>
    <n v="6"/>
    <n v="-213.25"/>
    <n v="35"/>
    <n v="0.8"/>
  </r>
  <r>
    <x v="247"/>
    <x v="132"/>
    <s v="HIGH"/>
    <s v="Prod_17"/>
    <x v="2"/>
    <x v="13"/>
    <s v="Cust_400"/>
    <x v="394"/>
    <n v="0.05"/>
    <n v="36"/>
    <n v="7434.48"/>
    <n v="28.14"/>
    <n v="0.38"/>
  </r>
  <r>
    <x v="247"/>
    <x v="132"/>
    <s v="HIGH"/>
    <s v="Prod_6"/>
    <x v="0"/>
    <x v="0"/>
    <s v="Cust_400"/>
    <x v="395"/>
    <n v="0.08"/>
    <n v="20"/>
    <n v="67.61"/>
    <n v="17.48"/>
    <n v="0.36"/>
  </r>
  <r>
    <x v="248"/>
    <x v="133"/>
    <s v="LOW"/>
    <s v="Prod_5"/>
    <x v="1"/>
    <x v="2"/>
    <s v="Cust_380"/>
    <x v="396"/>
    <n v="7.0000000000000007E-2"/>
    <n v="38"/>
    <n v="51.47"/>
    <n v="8.99"/>
    <n v="0.47"/>
  </r>
  <r>
    <x v="249"/>
    <x v="134"/>
    <s v="HIGH"/>
    <s v="Prod_2"/>
    <x v="0"/>
    <x v="12"/>
    <s v="Cust_389"/>
    <x v="397"/>
    <n v="0.1"/>
    <n v="14"/>
    <n v="-105.33"/>
    <n v="13.32"/>
    <n v="0.43"/>
  </r>
  <r>
    <x v="250"/>
    <x v="135"/>
    <s v="NOT SPECIFIED"/>
    <s v="Prod_2"/>
    <x v="0"/>
    <x v="12"/>
    <s v="Cust_395"/>
    <x v="398"/>
    <n v="0.01"/>
    <n v="48"/>
    <n v="1481.67"/>
    <n v="15.66"/>
    <n v="0.56999999999999995"/>
  </r>
  <r>
    <x v="250"/>
    <x v="135"/>
    <s v="NOT SPECIFIED"/>
    <s v="Prod_6"/>
    <x v="0"/>
    <x v="0"/>
    <s v="Cust_395"/>
    <x v="399"/>
    <n v="0"/>
    <n v="23"/>
    <n v="-27.49"/>
    <n v="5.96"/>
    <n v="0.38"/>
  </r>
  <r>
    <x v="250"/>
    <x v="135"/>
    <s v="NOT SPECIFIED"/>
    <s v="Prod_6"/>
    <x v="0"/>
    <x v="0"/>
    <s v="Cust_395"/>
    <x v="400"/>
    <n v="0.1"/>
    <n v="19"/>
    <n v="23.94"/>
    <n v="17.48"/>
    <n v="0.36"/>
  </r>
  <r>
    <x v="251"/>
    <x v="136"/>
    <s v="LOW"/>
    <s v="Prod_15"/>
    <x v="1"/>
    <x v="7"/>
    <s v="Cust_407"/>
    <x v="401"/>
    <n v="7.0000000000000007E-2"/>
    <n v="35"/>
    <n v="-384.6"/>
    <n v="57"/>
    <n v="0.78"/>
  </r>
  <r>
    <x v="251"/>
    <x v="136"/>
    <s v="LOW"/>
    <s v="Prod_17"/>
    <x v="2"/>
    <x v="13"/>
    <s v="Cust_407"/>
    <x v="402"/>
    <n v="0.08"/>
    <n v="15"/>
    <n v="1908.45"/>
    <n v="28.14"/>
    <n v="0.38"/>
  </r>
  <r>
    <x v="252"/>
    <x v="136"/>
    <s v="HIGH"/>
    <s v="Prod_8"/>
    <x v="2"/>
    <x v="8"/>
    <s v="Cust_45"/>
    <x v="403"/>
    <n v="0.06"/>
    <n v="31"/>
    <n v="304.42"/>
    <n v="1.99"/>
    <n v="0.51"/>
  </r>
  <r>
    <x v="253"/>
    <x v="136"/>
    <s v="HIGH"/>
    <s v="Prod_5"/>
    <x v="1"/>
    <x v="2"/>
    <s v="Cust_467"/>
    <x v="404"/>
    <n v="0"/>
    <n v="24"/>
    <n v="830.75"/>
    <n v="19.989999999999998"/>
    <n v="0.43"/>
  </r>
  <r>
    <x v="254"/>
    <x v="137"/>
    <s v="CRITICAL"/>
    <s v="Prod_2"/>
    <x v="0"/>
    <x v="12"/>
    <s v="Cust_541"/>
    <x v="405"/>
    <n v="0.08"/>
    <n v="17"/>
    <n v="-563.86"/>
    <n v="49"/>
    <n v="0.59"/>
  </r>
  <r>
    <x v="255"/>
    <x v="138"/>
    <s v="NOT SPECIFIED"/>
    <s v="Prod_3"/>
    <x v="0"/>
    <x v="1"/>
    <s v="Cust_437"/>
    <x v="406"/>
    <n v="0.06"/>
    <n v="36"/>
    <n v="-46.12"/>
    <n v="6.19"/>
    <n v="0.38"/>
  </r>
  <r>
    <x v="256"/>
    <x v="138"/>
    <s v="LOW"/>
    <s v="Prod_17"/>
    <x v="2"/>
    <x v="13"/>
    <s v="Cust_486"/>
    <x v="407"/>
    <n v="0.08"/>
    <n v="7"/>
    <n v="-3476.86"/>
    <n v="29.7"/>
    <n v="0.56999999999999995"/>
  </r>
  <r>
    <x v="256"/>
    <x v="138"/>
    <s v="LOW"/>
    <s v="Prod_6"/>
    <x v="0"/>
    <x v="0"/>
    <s v="Cust_486"/>
    <x v="408"/>
    <n v="0.05"/>
    <n v="9"/>
    <n v="170.9"/>
    <n v="4.8600000000000003"/>
    <n v="0.36"/>
  </r>
  <r>
    <x v="257"/>
    <x v="139"/>
    <s v="NOT SPECIFIED"/>
    <s v="Prod_3"/>
    <x v="0"/>
    <x v="1"/>
    <s v="Cust_449"/>
    <x v="409"/>
    <n v="0.1"/>
    <n v="47"/>
    <n v="365.79"/>
    <n v="1.49"/>
    <n v="0.35"/>
  </r>
  <r>
    <x v="257"/>
    <x v="139"/>
    <s v="NOT SPECIFIED"/>
    <s v="Prod_6"/>
    <x v="0"/>
    <x v="0"/>
    <s v="Cust_449"/>
    <x v="410"/>
    <n v="0.03"/>
    <n v="7"/>
    <n v="-4.46"/>
    <n v="19.989999999999998"/>
    <n v="0.37"/>
  </r>
  <r>
    <x v="258"/>
    <x v="139"/>
    <s v="HIGH"/>
    <s v="Prod_5"/>
    <x v="1"/>
    <x v="2"/>
    <s v="Cust_455"/>
    <x v="411"/>
    <n v="0"/>
    <n v="35"/>
    <n v="120.01"/>
    <n v="2.85"/>
    <n v="0.55000000000000004"/>
  </r>
  <r>
    <x v="259"/>
    <x v="139"/>
    <s v="MEDIUM"/>
    <s v="Prod_4"/>
    <x v="2"/>
    <x v="11"/>
    <s v="Cust_486"/>
    <x v="412"/>
    <n v="0.05"/>
    <n v="38"/>
    <n v="1057.8900000000001"/>
    <n v="5.99"/>
    <n v="0.56999999999999995"/>
  </r>
  <r>
    <x v="260"/>
    <x v="140"/>
    <s v="HIGH"/>
    <s v="Prod_4"/>
    <x v="2"/>
    <x v="11"/>
    <s v="Cust_451"/>
    <x v="413"/>
    <n v="0"/>
    <n v="26"/>
    <n v="211.09"/>
    <n v="8.99"/>
    <n v="0.56000000000000005"/>
  </r>
  <r>
    <x v="261"/>
    <x v="140"/>
    <s v="CRITICAL"/>
    <s v="Prod_4"/>
    <x v="2"/>
    <x v="11"/>
    <s v="Cust_477"/>
    <x v="414"/>
    <n v="0.03"/>
    <n v="24"/>
    <n v="261.52"/>
    <n v="5.26"/>
    <n v="0.56000000000000005"/>
  </r>
  <r>
    <x v="261"/>
    <x v="140"/>
    <s v="CRITICAL"/>
    <s v="Prod_6"/>
    <x v="0"/>
    <x v="0"/>
    <s v="Cust_477"/>
    <x v="415"/>
    <n v="0.05"/>
    <n v="3"/>
    <n v="-14.22"/>
    <n v="6.26"/>
    <n v="0.4"/>
  </r>
  <r>
    <x v="262"/>
    <x v="140"/>
    <s v="LOW"/>
    <s v="Prod_8"/>
    <x v="2"/>
    <x v="8"/>
    <s v="Cust_523"/>
    <x v="416"/>
    <n v="0.06"/>
    <n v="26"/>
    <n v="-80.11"/>
    <n v="4.07"/>
    <n v="0.66"/>
  </r>
  <r>
    <x v="262"/>
    <x v="140"/>
    <s v="LOW"/>
    <s v="Prod_5"/>
    <x v="1"/>
    <x v="2"/>
    <s v="Cust_523"/>
    <x v="417"/>
    <n v="0.03"/>
    <n v="38"/>
    <n v="739.48"/>
    <n v="7.23"/>
    <n v="0.41"/>
  </r>
  <r>
    <x v="263"/>
    <x v="140"/>
    <s v="CRITICAL"/>
    <s v="Prod_3"/>
    <x v="0"/>
    <x v="1"/>
    <s v="Cust_529"/>
    <x v="418"/>
    <n v="0.03"/>
    <n v="22"/>
    <n v="-60.72"/>
    <n v="5.63"/>
    <n v="0.39"/>
  </r>
  <r>
    <x v="264"/>
    <x v="141"/>
    <s v="HIGH"/>
    <s v="Prod_13"/>
    <x v="0"/>
    <x v="9"/>
    <s v="Cust_531"/>
    <x v="419"/>
    <n v="0"/>
    <n v="7"/>
    <n v="5.03"/>
    <n v="0.71"/>
    <n v="0.52"/>
  </r>
  <r>
    <x v="265"/>
    <x v="141"/>
    <s v="HIGH"/>
    <s v="Prod_12"/>
    <x v="0"/>
    <x v="15"/>
    <s v="Cust_545"/>
    <x v="420"/>
    <n v="0.1"/>
    <n v="4"/>
    <n v="-2.06"/>
    <n v="0.99"/>
    <n v="0.39"/>
  </r>
  <r>
    <x v="265"/>
    <x v="141"/>
    <s v="HIGH"/>
    <s v="Prod_12"/>
    <x v="0"/>
    <x v="15"/>
    <s v="Cust_545"/>
    <x v="421"/>
    <n v="0.04"/>
    <n v="5"/>
    <n v="2.98"/>
    <n v="0.49"/>
    <n v="0.39"/>
  </r>
  <r>
    <x v="266"/>
    <x v="142"/>
    <s v="NOT SPECIFIED"/>
    <s v="Prod_3"/>
    <x v="0"/>
    <x v="1"/>
    <s v="Cust_492"/>
    <x v="422"/>
    <n v="7.0000000000000007E-2"/>
    <n v="34"/>
    <n v="-129.63"/>
    <n v="5.47"/>
    <n v="0.37"/>
  </r>
  <r>
    <x v="267"/>
    <x v="142"/>
    <s v="NOT SPECIFIED"/>
    <s v="Prod_8"/>
    <x v="2"/>
    <x v="8"/>
    <s v="Cust_526"/>
    <x v="423"/>
    <n v="0.1"/>
    <n v="38"/>
    <n v="-49.38"/>
    <n v="6.5"/>
    <n v="0.48"/>
  </r>
  <r>
    <x v="268"/>
    <x v="143"/>
    <s v="HIGH"/>
    <s v="Prod_11"/>
    <x v="1"/>
    <x v="14"/>
    <s v="Cust_138"/>
    <x v="424"/>
    <n v="0.02"/>
    <n v="23"/>
    <n v="40.32"/>
    <n v="69"/>
    <n v="0.67"/>
  </r>
  <r>
    <x v="268"/>
    <x v="143"/>
    <s v="HIGH"/>
    <s v="Prod_2"/>
    <x v="0"/>
    <x v="12"/>
    <s v="Cust_138"/>
    <x v="425"/>
    <n v="0.03"/>
    <n v="24"/>
    <n v="-678.63"/>
    <n v="49"/>
    <n v="0.59"/>
  </r>
  <r>
    <x v="268"/>
    <x v="143"/>
    <s v="HIGH"/>
    <s v="Prod_4"/>
    <x v="2"/>
    <x v="11"/>
    <s v="Cust_91"/>
    <x v="426"/>
    <n v="0.1"/>
    <n v="44"/>
    <n v="-162.37"/>
    <n v="5.03"/>
    <n v="0.6"/>
  </r>
  <r>
    <x v="269"/>
    <x v="144"/>
    <s v="HIGH"/>
    <s v="Prod_8"/>
    <x v="2"/>
    <x v="8"/>
    <s v="Cust_498"/>
    <x v="427"/>
    <n v="0"/>
    <n v="17"/>
    <n v="70.48"/>
    <n v="1.99"/>
    <n v="0.43"/>
  </r>
  <r>
    <x v="269"/>
    <x v="144"/>
    <s v="HIGH"/>
    <s v="Prod_8"/>
    <x v="2"/>
    <x v="8"/>
    <s v="Cust_498"/>
    <x v="428"/>
    <n v="0"/>
    <n v="24"/>
    <n v="175.82"/>
    <n v="1.99"/>
    <n v="0.5"/>
  </r>
  <r>
    <x v="270"/>
    <x v="145"/>
    <s v="MEDIUM"/>
    <s v="Prod_10"/>
    <x v="1"/>
    <x v="4"/>
    <s v="Cust_366"/>
    <x v="429"/>
    <n v="0.04"/>
    <n v="8"/>
    <n v="-320.3"/>
    <n v="36.090000000000003"/>
    <n v="0.77"/>
  </r>
  <r>
    <x v="270"/>
    <x v="145"/>
    <s v="MEDIUM"/>
    <s v="Prod_7"/>
    <x v="0"/>
    <x v="5"/>
    <s v="Cust_366"/>
    <x v="430"/>
    <n v="0.1"/>
    <n v="48"/>
    <n v="-41.32"/>
    <n v="1.56"/>
    <n v="0.49"/>
  </r>
  <r>
    <x v="271"/>
    <x v="145"/>
    <s v="NOT SPECIFIED"/>
    <s v="Prod_5"/>
    <x v="1"/>
    <x v="2"/>
    <s v="Cust_397"/>
    <x v="431"/>
    <n v="7.0000000000000007E-2"/>
    <n v="44"/>
    <n v="-1183.69"/>
    <n v="48.2"/>
    <n v="0.74"/>
  </r>
  <r>
    <x v="271"/>
    <x v="145"/>
    <s v="NOT SPECIFIED"/>
    <s v="Prod_11"/>
    <x v="1"/>
    <x v="14"/>
    <s v="Cust_397"/>
    <x v="432"/>
    <n v="0"/>
    <n v="37"/>
    <n v="-194.97"/>
    <n v="51.92"/>
    <n v="0.69"/>
  </r>
  <r>
    <x v="272"/>
    <x v="146"/>
    <s v="LOW"/>
    <s v="Prod_17"/>
    <x v="2"/>
    <x v="13"/>
    <s v="Cust_363"/>
    <x v="433"/>
    <n v="0"/>
    <n v="48"/>
    <n v="4875.8900000000003"/>
    <n v="26.53"/>
    <n v="0.56000000000000005"/>
  </r>
  <r>
    <x v="273"/>
    <x v="147"/>
    <s v="NOT SPECIFIED"/>
    <s v="Prod_3"/>
    <x v="0"/>
    <x v="1"/>
    <s v="Cust_397"/>
    <x v="434"/>
    <n v="0.03"/>
    <n v="27"/>
    <n v="-102.02"/>
    <n v="5.44"/>
    <n v="0.36"/>
  </r>
  <r>
    <x v="273"/>
    <x v="147"/>
    <s v="NOT SPECIFIED"/>
    <s v="Prod_3"/>
    <x v="0"/>
    <x v="1"/>
    <s v="Cust_397"/>
    <x v="435"/>
    <n v="0"/>
    <n v="13"/>
    <n v="7.77"/>
    <n v="5.14"/>
    <n v="0.36"/>
  </r>
  <r>
    <x v="274"/>
    <x v="147"/>
    <s v="MEDIUM"/>
    <s v="Prod_5"/>
    <x v="1"/>
    <x v="2"/>
    <s v="Cust_399"/>
    <x v="436"/>
    <n v="0.05"/>
    <n v="40"/>
    <n v="207.18"/>
    <n v="7.58"/>
    <n v="0.51"/>
  </r>
  <r>
    <x v="275"/>
    <x v="148"/>
    <s v="NOT SPECIFIED"/>
    <s v="Prod_4"/>
    <x v="2"/>
    <x v="11"/>
    <s v="Cust_406"/>
    <x v="437"/>
    <n v="0.05"/>
    <n v="38"/>
    <n v="894.06"/>
    <n v="5.92"/>
    <n v="0.57999999999999996"/>
  </r>
  <r>
    <x v="276"/>
    <x v="149"/>
    <s v="CRITICAL"/>
    <s v="Prod_15"/>
    <x v="1"/>
    <x v="7"/>
    <s v="Cust_1307"/>
    <x v="438"/>
    <n v="0.04"/>
    <n v="21"/>
    <n v="935.06"/>
    <n v="64.73"/>
    <n v="0.56000000000000005"/>
  </r>
  <r>
    <x v="276"/>
    <x v="149"/>
    <s v="CRITICAL"/>
    <s v="Prod_8"/>
    <x v="2"/>
    <x v="8"/>
    <s v="Cust_1307"/>
    <x v="439"/>
    <n v="0.08"/>
    <n v="11"/>
    <n v="-66.66"/>
    <n v="5.5"/>
    <n v="0.51"/>
  </r>
  <r>
    <x v="277"/>
    <x v="149"/>
    <s v="NOT SPECIFIED"/>
    <s v="Prod_2"/>
    <x v="0"/>
    <x v="12"/>
    <s v="Cust_412"/>
    <x v="440"/>
    <n v="0.01"/>
    <n v="27"/>
    <n v="452.49"/>
    <n v="3.99"/>
    <n v="0.56999999999999995"/>
  </r>
  <r>
    <x v="276"/>
    <x v="149"/>
    <s v="CRITICAL"/>
    <s v="Prod_6"/>
    <x v="0"/>
    <x v="0"/>
    <s v="Cust_547"/>
    <x v="441"/>
    <n v="0"/>
    <n v="27"/>
    <n v="-113.32"/>
    <n v="7.44"/>
    <n v="0.36"/>
  </r>
  <r>
    <x v="242"/>
    <x v="150"/>
    <s v="NOT SPECIFIED"/>
    <s v="Prod_17"/>
    <x v="2"/>
    <x v="13"/>
    <s v="Cust_532"/>
    <x v="442"/>
    <n v="0.04"/>
    <n v="22"/>
    <n v="1046.69"/>
    <n v="13.99"/>
    <n v="0.38"/>
  </r>
  <r>
    <x v="225"/>
    <x v="150"/>
    <s v="LOW"/>
    <s v="Prod_12"/>
    <x v="0"/>
    <x v="15"/>
    <s v="Cust_535"/>
    <x v="443"/>
    <n v="0.1"/>
    <n v="15"/>
    <n v="39.979999999999997"/>
    <n v="0.49"/>
    <n v="0.38"/>
  </r>
  <r>
    <x v="278"/>
    <x v="151"/>
    <s v="NOT SPECIFIED"/>
    <s v="Prod_12"/>
    <x v="0"/>
    <x v="15"/>
    <s v="Cust_4"/>
    <x v="444"/>
    <n v="0.1"/>
    <n v="13"/>
    <n v="26.92"/>
    <n v="0.5"/>
    <n v="0.38"/>
  </r>
  <r>
    <x v="278"/>
    <x v="151"/>
    <s v="NOT SPECIFIED"/>
    <s v="Prod_7"/>
    <x v="0"/>
    <x v="5"/>
    <s v="Cust_4"/>
    <x v="445"/>
    <n v="0.05"/>
    <n v="21"/>
    <n v="-5.77"/>
    <n v="0.7"/>
    <n v="0.8"/>
  </r>
  <r>
    <x v="279"/>
    <x v="151"/>
    <s v="HIGH"/>
    <s v="Prod_4"/>
    <x v="2"/>
    <x v="11"/>
    <s v="Cust_416"/>
    <x v="446"/>
    <n v="0.06"/>
    <n v="27"/>
    <n v="492.24"/>
    <n v="7.69"/>
    <n v="0.57999999999999996"/>
  </r>
  <r>
    <x v="280"/>
    <x v="151"/>
    <s v="CRITICAL"/>
    <s v="Prod_17"/>
    <x v="2"/>
    <x v="13"/>
    <s v="Cust_45"/>
    <x v="447"/>
    <n v="0.06"/>
    <n v="14"/>
    <n v="636.17999999999995"/>
    <n v="15.59"/>
    <n v="0.36"/>
  </r>
  <r>
    <x v="281"/>
    <x v="151"/>
    <s v="LOW"/>
    <s v="Prod_8"/>
    <x v="2"/>
    <x v="8"/>
    <s v="Cust_501"/>
    <x v="448"/>
    <n v="0.02"/>
    <n v="26"/>
    <n v="-94.59"/>
    <n v="6.5"/>
    <n v="0.78"/>
  </r>
  <r>
    <x v="281"/>
    <x v="151"/>
    <s v="LOW"/>
    <s v="Prod_6"/>
    <x v="0"/>
    <x v="0"/>
    <s v="Cust_501"/>
    <x v="449"/>
    <n v="0.1"/>
    <n v="47"/>
    <n v="-190.57"/>
    <n v="7.37"/>
    <n v="0.37"/>
  </r>
  <r>
    <x v="282"/>
    <x v="151"/>
    <s v="HIGH"/>
    <s v="Prod_1"/>
    <x v="0"/>
    <x v="3"/>
    <s v="Cust_527"/>
    <x v="450"/>
    <n v="0.06"/>
    <n v="32"/>
    <n v="-259.02"/>
    <n v="9.69"/>
    <n v="0.83"/>
  </r>
  <r>
    <x v="283"/>
    <x v="152"/>
    <s v="CRITICAL"/>
    <s v="Prod_5"/>
    <x v="1"/>
    <x v="2"/>
    <s v="Cust_368"/>
    <x v="451"/>
    <n v="0.01"/>
    <n v="10"/>
    <n v="10.94"/>
    <n v="2.85"/>
    <n v="0.55000000000000004"/>
  </r>
  <r>
    <x v="283"/>
    <x v="152"/>
    <s v="CRITICAL"/>
    <s v="Prod_6"/>
    <x v="0"/>
    <x v="0"/>
    <s v="Cust_368"/>
    <x v="452"/>
    <n v="0.06"/>
    <n v="33"/>
    <n v="700.31"/>
    <n v="10.75"/>
    <n v="0.36"/>
  </r>
  <r>
    <x v="284"/>
    <x v="152"/>
    <s v="MEDIUM"/>
    <s v="Prod_15"/>
    <x v="1"/>
    <x v="7"/>
    <s v="Cust_445"/>
    <x v="453"/>
    <n v="0.01"/>
    <n v="4"/>
    <n v="-183.26"/>
    <n v="30"/>
    <n v="0.71"/>
  </r>
  <r>
    <x v="284"/>
    <x v="152"/>
    <s v="MEDIUM"/>
    <s v="Prod_4"/>
    <x v="2"/>
    <x v="11"/>
    <s v="Cust_445"/>
    <x v="454"/>
    <n v="7.0000000000000007E-2"/>
    <n v="50"/>
    <n v="-133.31"/>
    <n v="3.3"/>
    <n v="0.81"/>
  </r>
  <r>
    <x v="285"/>
    <x v="152"/>
    <s v="NOT SPECIFIED"/>
    <s v="Prod_3"/>
    <x v="0"/>
    <x v="1"/>
    <s v="Cust_518"/>
    <x v="455"/>
    <n v="0.09"/>
    <n v="40"/>
    <n v="-134.30000000000001"/>
    <n v="5.41"/>
    <n v="0.35"/>
  </r>
  <r>
    <x v="286"/>
    <x v="153"/>
    <s v="NOT SPECIFIED"/>
    <s v="Prod_4"/>
    <x v="2"/>
    <x v="11"/>
    <s v="Cust_466"/>
    <x v="456"/>
    <n v="0.03"/>
    <n v="46"/>
    <n v="74.510000000000005"/>
    <n v="5"/>
    <n v="0.8"/>
  </r>
  <r>
    <x v="286"/>
    <x v="153"/>
    <s v="NOT SPECIFIED"/>
    <s v="Prod_5"/>
    <x v="1"/>
    <x v="2"/>
    <s v="Cust_466"/>
    <x v="457"/>
    <n v="0.09"/>
    <n v="9"/>
    <n v="12.4"/>
    <n v="14.39"/>
    <n v="0.47"/>
  </r>
  <r>
    <x v="287"/>
    <x v="153"/>
    <s v="LOW"/>
    <s v="Prod_6"/>
    <x v="0"/>
    <x v="0"/>
    <s v="Cust_467"/>
    <x v="458"/>
    <n v="0"/>
    <n v="3"/>
    <n v="-13.72"/>
    <n v="6.6"/>
    <n v="0.37"/>
  </r>
  <r>
    <x v="288"/>
    <x v="153"/>
    <s v="LOW"/>
    <s v="Prod_3"/>
    <x v="0"/>
    <x v="1"/>
    <s v="Cust_60"/>
    <x v="459"/>
    <n v="0.09"/>
    <n v="24"/>
    <n v="-42.99"/>
    <n v="12.98"/>
    <n v="0.39"/>
  </r>
  <r>
    <x v="289"/>
    <x v="154"/>
    <s v="LOW"/>
    <s v="Prod_5"/>
    <x v="1"/>
    <x v="2"/>
    <s v="Cust_1787"/>
    <x v="460"/>
    <n v="0.04"/>
    <n v="25"/>
    <n v="490.99"/>
    <n v="10.119999999999999"/>
    <n v="0.79"/>
  </r>
  <r>
    <x v="289"/>
    <x v="154"/>
    <s v="LOW"/>
    <s v="Prod_11"/>
    <x v="1"/>
    <x v="14"/>
    <s v="Cust_1787"/>
    <x v="461"/>
    <n v="7.0000000000000007E-2"/>
    <n v="47"/>
    <n v="-1643.74"/>
    <n v="45.51"/>
    <n v="0.65"/>
  </r>
  <r>
    <x v="290"/>
    <x v="154"/>
    <s v="LOW"/>
    <s v="Prod_9"/>
    <x v="0"/>
    <x v="6"/>
    <s v="Cust_447"/>
    <x v="462"/>
    <n v="0"/>
    <n v="21"/>
    <n v="-89.02"/>
    <n v="6.35"/>
    <n v="0.36"/>
  </r>
  <r>
    <x v="289"/>
    <x v="154"/>
    <s v="LOW"/>
    <s v="Prod_10"/>
    <x v="1"/>
    <x v="4"/>
    <s v="Cust_451"/>
    <x v="463"/>
    <n v="0.04"/>
    <n v="36"/>
    <n v="-904.73"/>
    <n v="54.74"/>
    <n v="0.69"/>
  </r>
  <r>
    <x v="291"/>
    <x v="155"/>
    <s v="MEDIUM"/>
    <s v="Prod_6"/>
    <x v="0"/>
    <x v="0"/>
    <s v="Cust_466"/>
    <x v="464"/>
    <n v="0.02"/>
    <n v="17"/>
    <n v="-44.69"/>
    <n v="6.93"/>
    <n v="0.37"/>
  </r>
  <r>
    <x v="292"/>
    <x v="155"/>
    <s v="LOW"/>
    <s v="Prod_3"/>
    <x v="0"/>
    <x v="1"/>
    <s v="Cust_496"/>
    <x v="465"/>
    <n v="0.03"/>
    <n v="45"/>
    <n v="-71.25"/>
    <n v="5.48"/>
    <n v="0.37"/>
  </r>
  <r>
    <x v="292"/>
    <x v="155"/>
    <s v="LOW"/>
    <s v="Prod_7"/>
    <x v="0"/>
    <x v="5"/>
    <s v="Cust_496"/>
    <x v="466"/>
    <n v="0.06"/>
    <n v="28"/>
    <n v="32.47"/>
    <n v="0.71"/>
    <n v="0.39"/>
  </r>
  <r>
    <x v="293"/>
    <x v="156"/>
    <s v="MEDIUM"/>
    <s v="Prod_4"/>
    <x v="2"/>
    <x v="11"/>
    <s v="Cust_542"/>
    <x v="467"/>
    <n v="0"/>
    <n v="1"/>
    <n v="-232.8"/>
    <n v="2.5"/>
    <n v="0.83"/>
  </r>
  <r>
    <x v="294"/>
    <x v="157"/>
    <s v="MEDIUM"/>
    <s v="Prod_12"/>
    <x v="0"/>
    <x v="15"/>
    <s v="Cust_499"/>
    <x v="468"/>
    <n v="0.06"/>
    <n v="40"/>
    <n v="36.619999999999997"/>
    <n v="0.5"/>
    <n v="0.39"/>
  </r>
  <r>
    <x v="294"/>
    <x v="157"/>
    <s v="MEDIUM"/>
    <s v="Prod_7"/>
    <x v="0"/>
    <x v="5"/>
    <s v="Cust_499"/>
    <x v="469"/>
    <n v="0.01"/>
    <n v="3"/>
    <n v="2.5299999999999998"/>
    <n v="0.76"/>
    <n v="0.39"/>
  </r>
  <r>
    <x v="295"/>
    <x v="157"/>
    <s v="CRITICAL"/>
    <s v="Prod_1"/>
    <x v="0"/>
    <x v="3"/>
    <s v="Cust_517"/>
    <x v="470"/>
    <n v="0.06"/>
    <n v="4"/>
    <n v="-218.77"/>
    <n v="35"/>
    <n v="0.81"/>
  </r>
  <r>
    <x v="296"/>
    <x v="157"/>
    <s v="NOT SPECIFIED"/>
    <s v="Prod_3"/>
    <x v="0"/>
    <x v="1"/>
    <s v="Cust_564"/>
    <x v="471"/>
    <n v="7.0000000000000007E-2"/>
    <n v="33"/>
    <n v="-17.2"/>
    <n v="1.49"/>
    <n v="0.37"/>
  </r>
  <r>
    <x v="296"/>
    <x v="157"/>
    <s v="NOT SPECIFIED"/>
    <s v="Prod_5"/>
    <x v="1"/>
    <x v="2"/>
    <s v="Cust_564"/>
    <x v="472"/>
    <n v="0.01"/>
    <n v="8"/>
    <n v="190.6"/>
    <n v="4.8"/>
    <n v="0.68"/>
  </r>
  <r>
    <x v="297"/>
    <x v="158"/>
    <s v="NOT SPECIFIED"/>
    <s v="Prod_2"/>
    <x v="0"/>
    <x v="12"/>
    <s v="Cust_378"/>
    <x v="473"/>
    <n v="0.06"/>
    <n v="18"/>
    <n v="238.52"/>
    <n v="15.66"/>
    <n v="0.56999999999999995"/>
  </r>
  <r>
    <x v="298"/>
    <x v="158"/>
    <s v="LOW"/>
    <s v="Prod_15"/>
    <x v="1"/>
    <x v="7"/>
    <s v="Cust_473"/>
    <x v="474"/>
    <n v="0.03"/>
    <n v="26"/>
    <n v="1019.7"/>
    <n v="12.65"/>
    <s v="NA"/>
  </r>
  <r>
    <x v="299"/>
    <x v="159"/>
    <s v="HIGH"/>
    <s v="Prod_6"/>
    <x v="0"/>
    <x v="0"/>
    <s v="Cust_373"/>
    <x v="475"/>
    <n v="0.01"/>
    <n v="25"/>
    <n v="31.74"/>
    <n v="6.47"/>
    <n v="0.38"/>
  </r>
  <r>
    <x v="300"/>
    <x v="159"/>
    <s v="CRITICAL"/>
    <s v="Prod_6"/>
    <x v="0"/>
    <x v="0"/>
    <s v="Cust_406"/>
    <x v="476"/>
    <n v="0.1"/>
    <n v="6"/>
    <n v="1.27"/>
    <n v="2.0299999999999998"/>
    <n v="0.37"/>
  </r>
  <r>
    <x v="301"/>
    <x v="160"/>
    <s v="MEDIUM"/>
    <s v="Prod_5"/>
    <x v="1"/>
    <x v="2"/>
    <s v="Cust_402"/>
    <x v="477"/>
    <n v="0.08"/>
    <n v="32"/>
    <n v="119.25"/>
    <n v="7.58"/>
    <n v="0.51"/>
  </r>
  <r>
    <x v="302"/>
    <x v="160"/>
    <s v="HIGH"/>
    <s v="Prod_5"/>
    <x v="1"/>
    <x v="2"/>
    <s v="Cust_405"/>
    <x v="478"/>
    <n v="0.08"/>
    <n v="9"/>
    <n v="364.03"/>
    <n v="19.989999999999998"/>
    <n v="0.43"/>
  </r>
  <r>
    <x v="302"/>
    <x v="160"/>
    <s v="HIGH"/>
    <s v="Prod_13"/>
    <x v="0"/>
    <x v="9"/>
    <s v="Cust_405"/>
    <x v="479"/>
    <n v="0.02"/>
    <n v="33"/>
    <n v="176.09"/>
    <n v="2.87"/>
    <n v="0.55000000000000004"/>
  </r>
  <r>
    <x v="303"/>
    <x v="160"/>
    <s v="HIGH"/>
    <s v="Prod_3"/>
    <x v="0"/>
    <x v="1"/>
    <s v="Cust_444"/>
    <x v="480"/>
    <n v="0.1"/>
    <n v="32"/>
    <n v="-54.57"/>
    <n v="6.28"/>
    <n v="0.35"/>
  </r>
  <r>
    <x v="304"/>
    <x v="160"/>
    <s v="NOT SPECIFIED"/>
    <s v="Prod_6"/>
    <x v="0"/>
    <x v="0"/>
    <s v="Cust_449"/>
    <x v="481"/>
    <n v="0.06"/>
    <n v="40"/>
    <n v="-160.21"/>
    <n v="7.64"/>
    <n v="0.36"/>
  </r>
  <r>
    <x v="304"/>
    <x v="160"/>
    <s v="NOT SPECIFIED"/>
    <s v="Prod_1"/>
    <x v="0"/>
    <x v="3"/>
    <s v="Cust_449"/>
    <x v="482"/>
    <n v="0.1"/>
    <n v="45"/>
    <n v="-30.27"/>
    <n v="4.8099999999999996"/>
    <n v="0.57999999999999996"/>
  </r>
  <r>
    <x v="305"/>
    <x v="160"/>
    <s v="HIGH"/>
    <s v="Prod_11"/>
    <x v="1"/>
    <x v="14"/>
    <s v="Cust_471"/>
    <x v="483"/>
    <n v="0.04"/>
    <n v="2"/>
    <n v="-186.13"/>
    <n v="51.94"/>
    <n v="0.63"/>
  </r>
  <r>
    <x v="305"/>
    <x v="160"/>
    <s v="HIGH"/>
    <s v="Prod_4"/>
    <x v="2"/>
    <x v="11"/>
    <s v="Cust_471"/>
    <x v="484"/>
    <n v="0.1"/>
    <n v="29"/>
    <n v="-208.43"/>
    <n v="5"/>
    <n v="0.82"/>
  </r>
  <r>
    <x v="306"/>
    <x v="160"/>
    <s v="LOW"/>
    <s v="Prod_8"/>
    <x v="2"/>
    <x v="8"/>
    <s v="Cust_521"/>
    <x v="485"/>
    <n v="0.06"/>
    <n v="23"/>
    <n v="23.97"/>
    <n v="3.61"/>
    <n v="0.71"/>
  </r>
  <r>
    <x v="307"/>
    <x v="160"/>
    <s v="MEDIUM"/>
    <s v="Prod_14"/>
    <x v="2"/>
    <x v="16"/>
    <s v="Cust_561"/>
    <x v="486"/>
    <n v="0.06"/>
    <n v="28"/>
    <n v="4963.8900000000003"/>
    <n v="49"/>
    <n v="0.35"/>
  </r>
  <r>
    <x v="307"/>
    <x v="160"/>
    <s v="MEDIUM"/>
    <s v="Prod_4"/>
    <x v="2"/>
    <x v="11"/>
    <s v="Cust_561"/>
    <x v="487"/>
    <n v="0.08"/>
    <n v="3"/>
    <n v="-479.08"/>
    <n v="5.99"/>
    <n v="0.56999999999999995"/>
  </r>
  <r>
    <x v="308"/>
    <x v="161"/>
    <s v="NOT SPECIFIED"/>
    <s v="Prod_8"/>
    <x v="2"/>
    <x v="8"/>
    <s v="Cust_402"/>
    <x v="488"/>
    <n v="0.08"/>
    <n v="11"/>
    <n v="-68.760000000000005"/>
    <n v="5.99"/>
    <n v="0.65"/>
  </r>
  <r>
    <x v="308"/>
    <x v="161"/>
    <s v="NOT SPECIFIED"/>
    <s v="Prod_1"/>
    <x v="0"/>
    <x v="3"/>
    <s v="Cust_402"/>
    <x v="489"/>
    <n v="0.09"/>
    <n v="10"/>
    <n v="-58.18"/>
    <n v="9.3699999999999992"/>
    <n v="0.56000000000000005"/>
  </r>
  <r>
    <x v="308"/>
    <x v="161"/>
    <s v="NOT SPECIFIED"/>
    <s v="Prod_13"/>
    <x v="0"/>
    <x v="9"/>
    <s v="Cust_402"/>
    <x v="490"/>
    <n v="0.06"/>
    <n v="33"/>
    <n v="-89.13"/>
    <n v="4.28"/>
    <n v="0.44"/>
  </r>
  <r>
    <x v="308"/>
    <x v="161"/>
    <s v="NOT SPECIFIED"/>
    <s v="Prod_6"/>
    <x v="0"/>
    <x v="0"/>
    <s v="Cust_402"/>
    <x v="491"/>
    <n v="0.06"/>
    <n v="45"/>
    <n v="-205.38"/>
    <n v="8.4"/>
    <n v="0.37"/>
  </r>
  <r>
    <x v="308"/>
    <x v="161"/>
    <s v="NOT SPECIFIED"/>
    <s v="Prod_16"/>
    <x v="0"/>
    <x v="10"/>
    <s v="Cust_402"/>
    <x v="492"/>
    <n v="0.04"/>
    <n v="23"/>
    <n v="19.36"/>
    <n v="3.37"/>
    <n v="0.56999999999999995"/>
  </r>
  <r>
    <x v="309"/>
    <x v="162"/>
    <s v="HIGH"/>
    <s v="Prod_17"/>
    <x v="2"/>
    <x v="13"/>
    <s v="Cust_395"/>
    <x v="493"/>
    <n v="0.04"/>
    <n v="13"/>
    <n v="377.81"/>
    <n v="14"/>
    <n v="0.36"/>
  </r>
  <r>
    <x v="310"/>
    <x v="163"/>
    <s v="LOW"/>
    <s v="Prod_4"/>
    <x v="2"/>
    <x v="11"/>
    <s v="Cust_382"/>
    <x v="494"/>
    <n v="0.1"/>
    <n v="12"/>
    <n v="-181.01"/>
    <n v="2.5"/>
    <n v="0.57999999999999996"/>
  </r>
  <r>
    <x v="311"/>
    <x v="164"/>
    <s v="CRITICAL"/>
    <s v="Prod_3"/>
    <x v="0"/>
    <x v="1"/>
    <s v="Cust_396"/>
    <x v="495"/>
    <n v="0.05"/>
    <n v="43"/>
    <n v="415.85"/>
    <n v="6.27"/>
    <n v="0.37"/>
  </r>
  <r>
    <x v="311"/>
    <x v="164"/>
    <s v="CRITICAL"/>
    <s v="Prod_11"/>
    <x v="1"/>
    <x v="14"/>
    <s v="Cust_396"/>
    <x v="496"/>
    <n v="0.03"/>
    <n v="13"/>
    <n v="-668.19"/>
    <n v="80.2"/>
    <n v="0.71"/>
  </r>
  <r>
    <x v="311"/>
    <x v="164"/>
    <s v="CRITICAL"/>
    <s v="Prod_4"/>
    <x v="2"/>
    <x v="11"/>
    <s v="Cust_396"/>
    <x v="497"/>
    <n v="0.06"/>
    <n v="4"/>
    <n v="-492.77"/>
    <n v="5.63"/>
    <n v="0.6"/>
  </r>
  <r>
    <x v="312"/>
    <x v="165"/>
    <s v="LOW"/>
    <s v="Prod_2"/>
    <x v="0"/>
    <x v="12"/>
    <s v="Cust_411"/>
    <x v="498"/>
    <n v="0.03"/>
    <n v="24"/>
    <n v="142.51"/>
    <n v="13.22"/>
    <n v="0.56000000000000005"/>
  </r>
  <r>
    <x v="313"/>
    <x v="53"/>
    <s v="NOT SPECIFIED"/>
    <s v="Prod_2"/>
    <x v="0"/>
    <x v="12"/>
    <s v="Cust_392"/>
    <x v="499"/>
    <n v="0.04"/>
    <n v="15"/>
    <n v="92.81"/>
    <n v="5.33"/>
    <n v="0.56999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7AC24A-78BD-4870-9329-69411FBFE974}" name="PivotTable22"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Product categories and subcategories">
  <location ref="A3:C24" firstHeaderRow="0" firstDataRow="1" firstDataCol="1"/>
  <pivotFields count="15">
    <pivotField showAll="0"/>
    <pivotField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axis="axisRow" showAll="0">
      <items count="4">
        <item x="1"/>
        <item x="0"/>
        <item x="2"/>
        <item t="default"/>
      </items>
    </pivotField>
    <pivotField axis="axisRow" showAll="0">
      <items count="18">
        <item x="12"/>
        <item x="1"/>
        <item x="4"/>
        <item x="7"/>
        <item x="8"/>
        <item x="16"/>
        <item x="6"/>
        <item x="15"/>
        <item x="2"/>
        <item x="13"/>
        <item x="0"/>
        <item x="9"/>
        <item x="5"/>
        <item x="10"/>
        <item x="3"/>
        <item x="14"/>
        <item x="11"/>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4"/>
    <field x="5"/>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Profit in Dollars" fld="10" baseField="4" baseItem="0" numFmtId="44"/>
    <dataField name="Profit as a percentage of grand total" fld="10" showDataAs="percentOfTotal" baseField="4" baseItem="0" numFmtId="10"/>
  </dataFields>
  <formats count="4">
    <format dxfId="10">
      <pivotArea collapsedLevelsAreSubtotals="1" fieldPosition="0">
        <references count="2">
          <reference field="4" count="1" selected="0">
            <x v="2"/>
          </reference>
          <reference field="5" count="1">
            <x v="4"/>
          </reference>
        </references>
      </pivotArea>
    </format>
    <format dxfId="9">
      <pivotArea collapsedLevelsAreSubtotals="1" fieldPosition="0">
        <references count="2">
          <reference field="4" count="1" selected="0">
            <x v="1"/>
          </reference>
          <reference field="5" count="1">
            <x v="14"/>
          </reference>
        </references>
      </pivotArea>
    </format>
    <format dxfId="8">
      <pivotArea outline="0" collapsedLevelsAreSubtotals="1" fieldPosition="0"/>
    </format>
    <format dxfId="7">
      <pivotArea outline="0" fieldPosition="0">
        <references count="1">
          <reference field="4294967294" count="1">
            <x v="1"/>
          </reference>
        </references>
      </pivotArea>
    </format>
  </formats>
  <conditionalFormats count="2">
    <conditionalFormat type="all" priority="1">
      <pivotAreas count="3">
        <pivotArea type="data" collapsedLevelsAreSubtotals="1" fieldPosition="0">
          <references count="3">
            <reference field="4294967294" count="1" selected="0">
              <x v="1"/>
            </reference>
            <reference field="4" count="1" selected="0">
              <x v="0"/>
            </reference>
            <reference field="5" count="4">
              <x v="2"/>
              <x v="3"/>
              <x v="8"/>
              <x v="15"/>
            </reference>
          </references>
        </pivotArea>
        <pivotArea type="data" collapsedLevelsAreSubtotals="1" fieldPosition="0">
          <references count="3">
            <reference field="4294967294" count="1" selected="0">
              <x v="1"/>
            </reference>
            <reference field="4" count="1" selected="0">
              <x v="1"/>
            </reference>
            <reference field="5" count="9">
              <x v="0"/>
              <x v="1"/>
              <x v="6"/>
              <x v="7"/>
              <x v="10"/>
              <x v="11"/>
              <x v="12"/>
              <x v="13"/>
              <x v="14"/>
            </reference>
          </references>
        </pivotArea>
        <pivotArea type="data" collapsedLevelsAreSubtotals="1" fieldPosition="0">
          <references count="3">
            <reference field="4294967294" count="1" selected="0">
              <x v="1"/>
            </reference>
            <reference field="4" count="1" selected="0">
              <x v="2"/>
            </reference>
            <reference field="5" count="4">
              <x v="4"/>
              <x v="5"/>
              <x v="9"/>
              <x v="16"/>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6D263-AAE9-4166-9C46-5ABC50720023}" name="PivotTable26"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Order Date" colHeaderCaption="Quarters">
  <location ref="A3:B20" firstHeaderRow="1" firstDataRow="1" firstDataCol="1" rowPageCount="1" colPageCount="1"/>
  <pivotFields count="15">
    <pivotField showAll="0"/>
    <pivotField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showAll="0"/>
    <pivotField axis="axisPage" showAll="0">
      <items count="18">
        <item x="12"/>
        <item x="1"/>
        <item x="4"/>
        <item x="7"/>
        <item x="8"/>
        <item x="16"/>
        <item x="6"/>
        <item x="15"/>
        <item x="2"/>
        <item x="13"/>
        <item x="0"/>
        <item x="9"/>
        <item x="5"/>
        <item x="10"/>
        <item x="3"/>
        <item x="14"/>
        <item x="11"/>
        <item t="default"/>
      </items>
    </pivotField>
    <pivotField showAll="0"/>
    <pivotField dataField="1" subtotalTop="0" showAll="0" sortType="descending">
      <items count="501">
        <item x="234"/>
        <item x="297"/>
        <item x="394"/>
        <item x="407"/>
        <item x="433"/>
        <item x="181"/>
        <item x="486"/>
        <item x="91"/>
        <item x="27"/>
        <item x="51"/>
        <item x="44"/>
        <item x="401"/>
        <item x="367"/>
        <item x="319"/>
        <item x="195"/>
        <item x="119"/>
        <item x="172"/>
        <item x="392"/>
        <item x="163"/>
        <item x="402"/>
        <item x="216"/>
        <item x="9"/>
        <item x="424"/>
        <item x="295"/>
        <item x="438"/>
        <item x="213"/>
        <item x="384"/>
        <item x="205"/>
        <item x="386"/>
        <item x="432"/>
        <item x="134"/>
        <item x="90"/>
        <item x="183"/>
        <item x="335"/>
        <item x="202"/>
        <item x="398"/>
        <item x="73"/>
        <item x="120"/>
        <item x="39"/>
        <item x="85"/>
        <item x="88"/>
        <item x="292"/>
        <item x="155"/>
        <item x="18"/>
        <item x="463"/>
        <item x="156"/>
        <item x="209"/>
        <item x="286"/>
        <item x="118"/>
        <item x="242"/>
        <item x="20"/>
        <item x="370"/>
        <item x="4"/>
        <item x="220"/>
        <item x="412"/>
        <item x="437"/>
        <item x="81"/>
        <item x="265"/>
        <item x="474"/>
        <item x="53"/>
        <item x="431"/>
        <item x="222"/>
        <item x="78"/>
        <item x="442"/>
        <item x="185"/>
        <item x="126"/>
        <item x="189"/>
        <item x="446"/>
        <item x="257"/>
        <item x="268"/>
        <item x="63"/>
        <item x="105"/>
        <item x="447"/>
        <item x="294"/>
        <item x="460"/>
        <item x="254"/>
        <item x="19"/>
        <item x="256"/>
        <item x="70"/>
        <item x="1"/>
        <item x="277"/>
        <item x="361"/>
        <item x="388"/>
        <item x="106"/>
        <item x="49"/>
        <item x="456"/>
        <item x="84"/>
        <item x="177"/>
        <item x="365"/>
        <item x="116"/>
        <item x="251"/>
        <item x="130"/>
        <item x="206"/>
        <item x="154"/>
        <item x="343"/>
        <item x="341"/>
        <item x="404"/>
        <item x="212"/>
        <item x="496"/>
        <item x="269"/>
        <item x="149"/>
        <item x="452"/>
        <item x="417"/>
        <item x="236"/>
        <item x="473"/>
        <item x="22"/>
        <item x="52"/>
        <item x="387"/>
        <item x="246"/>
        <item x="15"/>
        <item x="440"/>
        <item x="493"/>
        <item x="148"/>
        <item x="282"/>
        <item x="124"/>
        <item x="10"/>
        <item x="369"/>
        <item x="376"/>
        <item x="64"/>
        <item x="413"/>
        <item x="352"/>
        <item x="425"/>
        <item x="38"/>
        <item x="264"/>
        <item x="171"/>
        <item x="62"/>
        <item x="414"/>
        <item x="273"/>
        <item x="26"/>
        <item x="315"/>
        <item x="498"/>
        <item x="173"/>
        <item x="54"/>
        <item x="345"/>
        <item x="358"/>
        <item x="495"/>
        <item x="338"/>
        <item x="320"/>
        <item x="145"/>
        <item x="279"/>
        <item x="313"/>
        <item x="102"/>
        <item x="332"/>
        <item x="309"/>
        <item x="390"/>
        <item x="175"/>
        <item x="71"/>
        <item x="293"/>
        <item x="199"/>
        <item x="364"/>
        <item x="82"/>
        <item x="461"/>
        <item x="403"/>
        <item x="330"/>
        <item x="429"/>
        <item x="47"/>
        <item x="182"/>
        <item x="485"/>
        <item x="494"/>
        <item x="2"/>
        <item x="112"/>
        <item x="184"/>
        <item x="385"/>
        <item x="405"/>
        <item x="77"/>
        <item x="436"/>
        <item x="151"/>
        <item x="96"/>
        <item x="283"/>
        <item x="409"/>
        <item x="83"/>
        <item x="238"/>
        <item x="278"/>
        <item x="454"/>
        <item x="303"/>
        <item x="371"/>
        <item x="484"/>
        <item x="56"/>
        <item x="36"/>
        <item x="3"/>
        <item x="136"/>
        <item x="395"/>
        <item x="59"/>
        <item x="218"/>
        <item x="99"/>
        <item x="428"/>
        <item x="255"/>
        <item x="400"/>
        <item x="479"/>
        <item x="224"/>
        <item x="187"/>
        <item x="478"/>
        <item x="477"/>
        <item x="396"/>
        <item x="290"/>
        <item x="174"/>
        <item x="326"/>
        <item x="219"/>
        <item x="217"/>
        <item x="499"/>
        <item x="61"/>
        <item x="448"/>
        <item x="132"/>
        <item x="21"/>
        <item x="459"/>
        <item x="423"/>
        <item x="180"/>
        <item x="482"/>
        <item x="346"/>
        <item x="389"/>
        <item x="300"/>
        <item x="31"/>
        <item x="305"/>
        <item x="98"/>
        <item x="408"/>
        <item x="135"/>
        <item x="208"/>
        <item x="225"/>
        <item x="33"/>
        <item x="41"/>
        <item x="188"/>
        <item x="166"/>
        <item x="178"/>
        <item x="453"/>
        <item x="12"/>
        <item x="160"/>
        <item x="43"/>
        <item x="363"/>
        <item x="37"/>
        <item x="200"/>
        <item x="122"/>
        <item x="233"/>
        <item x="161"/>
        <item x="334"/>
        <item x="0"/>
        <item x="57"/>
        <item x="497"/>
        <item x="411"/>
        <item x="348"/>
        <item x="146"/>
        <item x="45"/>
        <item x="272"/>
        <item x="30"/>
        <item x="193"/>
        <item x="194"/>
        <item x="472"/>
        <item x="157"/>
        <item x="243"/>
        <item x="253"/>
        <item x="427"/>
        <item x="144"/>
        <item x="382"/>
        <item x="196"/>
        <item x="65"/>
        <item x="159"/>
        <item x="291"/>
        <item x="250"/>
        <item x="410"/>
        <item x="226"/>
        <item x="340"/>
        <item x="470"/>
        <item x="5"/>
        <item x="158"/>
        <item x="167"/>
        <item x="475"/>
        <item x="137"/>
        <item x="94"/>
        <item x="140"/>
        <item x="331"/>
        <item x="169"/>
        <item x="406"/>
        <item x="13"/>
        <item x="439"/>
        <item x="465"/>
        <item x="323"/>
        <item x="375"/>
        <item x="109"/>
        <item x="487"/>
        <item x="75"/>
        <item x="28"/>
        <item x="483"/>
        <item x="314"/>
        <item x="491"/>
        <item x="115"/>
        <item x="449"/>
        <item x="426"/>
        <item x="480"/>
        <item x="76"/>
        <item x="289"/>
        <item x="302"/>
        <item x="298"/>
        <item x="492"/>
        <item x="60"/>
        <item x="393"/>
        <item x="207"/>
        <item x="284"/>
        <item x="248"/>
        <item x="249"/>
        <item x="6"/>
        <item x="299"/>
        <item x="266"/>
        <item x="221"/>
        <item x="229"/>
        <item x="336"/>
        <item x="481"/>
        <item x="325"/>
        <item x="366"/>
        <item x="450"/>
        <item x="372"/>
        <item x="235"/>
        <item x="355"/>
        <item x="488"/>
        <item x="271"/>
        <item x="86"/>
        <item x="362"/>
        <item x="95"/>
        <item x="237"/>
        <item x="374"/>
        <item x="232"/>
        <item x="397"/>
        <item x="261"/>
        <item x="356"/>
        <item x="230"/>
        <item x="129"/>
        <item x="143"/>
        <item x="241"/>
        <item x="228"/>
        <item x="14"/>
        <item x="11"/>
        <item x="29"/>
        <item x="101"/>
        <item x="399"/>
        <item x="351"/>
        <item x="79"/>
        <item x="373"/>
        <item x="457"/>
        <item x="127"/>
        <item x="128"/>
        <item x="270"/>
        <item x="108"/>
        <item x="306"/>
        <item x="68"/>
        <item x="281"/>
        <item x="276"/>
        <item x="322"/>
        <item x="162"/>
        <item x="391"/>
        <item x="285"/>
        <item x="339"/>
        <item x="455"/>
        <item x="416"/>
        <item x="191"/>
        <item x="197"/>
        <item x="380"/>
        <item x="344"/>
        <item x="7"/>
        <item x="274"/>
        <item x="245"/>
        <item x="117"/>
        <item x="139"/>
        <item x="66"/>
        <item x="435"/>
        <item x="168"/>
        <item x="377"/>
        <item x="215"/>
        <item x="441"/>
        <item x="489"/>
        <item x="260"/>
        <item x="308"/>
        <item x="379"/>
        <item x="359"/>
        <item x="50"/>
        <item x="263"/>
        <item x="378"/>
        <item x="451"/>
        <item x="133"/>
        <item x="312"/>
        <item x="464"/>
        <item x="147"/>
        <item x="418"/>
        <item x="422"/>
        <item x="247"/>
        <item x="360"/>
        <item x="8"/>
        <item x="152"/>
        <item x="240"/>
        <item x="164"/>
        <item x="121"/>
        <item x="275"/>
        <item x="40"/>
        <item x="198"/>
        <item x="288"/>
        <item x="190"/>
        <item x="333"/>
        <item x="267"/>
        <item x="72"/>
        <item x="67"/>
        <item x="252"/>
        <item x="123"/>
        <item x="165"/>
        <item x="354"/>
        <item x="324"/>
        <item x="170"/>
        <item x="259"/>
        <item x="280"/>
        <item x="342"/>
        <item x="107"/>
        <item x="443"/>
        <item x="468"/>
        <item x="466"/>
        <item x="97"/>
        <item x="34"/>
        <item x="445"/>
        <item x="329"/>
        <item x="153"/>
        <item x="368"/>
        <item x="490"/>
        <item x="131"/>
        <item x="204"/>
        <item x="434"/>
        <item x="262"/>
        <item x="58"/>
        <item x="42"/>
        <item x="150"/>
        <item x="100"/>
        <item x="430"/>
        <item x="258"/>
        <item x="176"/>
        <item x="210"/>
        <item x="80"/>
        <item x="125"/>
        <item x="227"/>
        <item x="203"/>
        <item x="87"/>
        <item x="92"/>
        <item x="55"/>
        <item x="23"/>
        <item x="347"/>
        <item x="89"/>
        <item x="179"/>
        <item x="25"/>
        <item x="46"/>
        <item x="462"/>
        <item x="138"/>
        <item x="357"/>
        <item x="471"/>
        <item x="444"/>
        <item x="110"/>
        <item x="287"/>
        <item x="381"/>
        <item x="111"/>
        <item x="74"/>
        <item x="476"/>
        <item x="201"/>
        <item x="467"/>
        <item x="317"/>
        <item x="214"/>
        <item x="141"/>
        <item x="223"/>
        <item x="48"/>
        <item x="244"/>
        <item x="311"/>
        <item x="304"/>
        <item x="301"/>
        <item x="349"/>
        <item x="239"/>
        <item x="192"/>
        <item x="383"/>
        <item x="113"/>
        <item x="310"/>
        <item x="419"/>
        <item x="32"/>
        <item x="316"/>
        <item x="16"/>
        <item x="186"/>
        <item x="353"/>
        <item x="69"/>
        <item x="337"/>
        <item x="231"/>
        <item x="458"/>
        <item x="35"/>
        <item x="421"/>
        <item x="307"/>
        <item x="415"/>
        <item x="211"/>
        <item x="350"/>
        <item x="103"/>
        <item x="296"/>
        <item x="420"/>
        <item x="469"/>
        <item x="104"/>
        <item x="17"/>
        <item x="328"/>
        <item x="142"/>
        <item x="114"/>
        <item x="93"/>
        <item x="327"/>
        <item x="24"/>
        <item x="321"/>
        <item x="318"/>
        <item t="default"/>
      </items>
    </pivotField>
    <pivotField showAll="0"/>
    <pivotField showAll="0"/>
    <pivotField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s>
  <rowFields count="2">
    <field x="14"/>
    <field x="13"/>
  </rowFields>
  <rowItems count="17">
    <i>
      <x v="1"/>
    </i>
    <i r="1">
      <x v="2"/>
    </i>
    <i r="1">
      <x v="1"/>
    </i>
    <i r="1">
      <x v="3"/>
    </i>
    <i>
      <x v="2"/>
    </i>
    <i r="1">
      <x v="6"/>
    </i>
    <i r="1">
      <x v="5"/>
    </i>
    <i r="1">
      <x v="4"/>
    </i>
    <i>
      <x v="3"/>
    </i>
    <i r="1">
      <x v="7"/>
    </i>
    <i r="1">
      <x v="8"/>
    </i>
    <i r="1">
      <x v="9"/>
    </i>
    <i>
      <x v="4"/>
    </i>
    <i r="1">
      <x v="11"/>
    </i>
    <i r="1">
      <x v="10"/>
    </i>
    <i r="1">
      <x v="12"/>
    </i>
    <i t="grand">
      <x/>
    </i>
  </rowItems>
  <colItems count="1">
    <i/>
  </colItems>
  <pageFields count="1">
    <pageField fld="5" hier="-1"/>
  </pageFields>
  <dataFields count="1">
    <dataField name="Sales by order date" fld="7" baseField="14" baseItem="1" numFmtId="44"/>
  </dataFields>
  <formats count="2">
    <format dxfId="4">
      <pivotArea dataOnly="0" labelOnly="1" grandCol="1" outline="0" fieldPosition="0"/>
    </format>
    <format dxfId="3">
      <pivotArea outline="0" collapsedLevelsAreSubtotals="1" fieldPosition="0"/>
    </format>
  </formats>
  <conditionalFormats count="2">
    <conditionalFormat type="all" priority="1">
      <pivotAreas count="4">
        <pivotArea type="data" collapsedLevelsAreSubtotals="1" fieldPosition="0">
          <references count="3">
            <reference field="4294967294" count="1" selected="0">
              <x v="0"/>
            </reference>
            <reference field="13" count="3">
              <x v="1"/>
              <x v="2"/>
              <x v="3"/>
            </reference>
            <reference field="14" count="1" selected="0">
              <x v="1"/>
            </reference>
          </references>
        </pivotArea>
        <pivotArea type="data" collapsedLevelsAreSubtotals="1" fieldPosition="0">
          <references count="3">
            <reference field="4294967294" count="1" selected="0">
              <x v="0"/>
            </reference>
            <reference field="13" count="3">
              <x v="4"/>
              <x v="5"/>
              <x v="6"/>
            </reference>
            <reference field="14" count="1" selected="0">
              <x v="2"/>
            </reference>
          </references>
        </pivotArea>
        <pivotArea type="data" collapsedLevelsAreSubtotals="1" fieldPosition="0">
          <references count="3">
            <reference field="4294967294" count="1" selected="0">
              <x v="0"/>
            </reference>
            <reference field="13" count="3">
              <x v="7"/>
              <x v="8"/>
              <x v="9"/>
            </reference>
            <reference field="14" count="1" selected="0">
              <x v="3"/>
            </reference>
          </references>
        </pivotArea>
        <pivotArea type="data" collapsedLevelsAreSubtotals="1" fieldPosition="0">
          <references count="3">
            <reference field="4294967294" count="1" selected="0">
              <x v="0"/>
            </reference>
            <reference field="13" count="3">
              <x v="10"/>
              <x v="11"/>
              <x v="12"/>
            </reference>
            <reference field="14" count="1" selected="0">
              <x v="4"/>
            </reference>
          </references>
        </pivotArea>
      </pivotAreas>
    </conditionalFormat>
    <conditionalFormat type="all" priority="2">
      <pivotAreas count="4">
        <pivotArea type="data" collapsedLevelsAreSubtotals="1" fieldPosition="0">
          <references count="3">
            <reference field="4294967294" count="1" selected="0">
              <x v="0"/>
            </reference>
            <reference field="13" count="3">
              <x v="1"/>
              <x v="2"/>
              <x v="3"/>
            </reference>
            <reference field="14" count="1" selected="0">
              <x v="1"/>
            </reference>
          </references>
        </pivotArea>
        <pivotArea type="data" collapsedLevelsAreSubtotals="1" fieldPosition="0">
          <references count="3">
            <reference field="4294967294" count="1" selected="0">
              <x v="0"/>
            </reference>
            <reference field="13" count="3">
              <x v="4"/>
              <x v="5"/>
              <x v="6"/>
            </reference>
            <reference field="14" count="1" selected="0">
              <x v="2"/>
            </reference>
          </references>
        </pivotArea>
        <pivotArea type="data" collapsedLevelsAreSubtotals="1" fieldPosition="0">
          <references count="3">
            <reference field="4294967294" count="1" selected="0">
              <x v="0"/>
            </reference>
            <reference field="13" count="3">
              <x v="7"/>
              <x v="8"/>
              <x v="9"/>
            </reference>
            <reference field="14" count="1" selected="0">
              <x v="3"/>
            </reference>
          </references>
        </pivotArea>
        <pivotArea type="data" collapsedLevelsAreSubtotals="1" fieldPosition="0">
          <references count="3">
            <reference field="4294967294" count="1" selected="0">
              <x v="0"/>
            </reference>
            <reference field="13" count="3">
              <x v="10"/>
              <x v="11"/>
              <x v="12"/>
            </reference>
            <reference field="14"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29241-51DC-46BA-848A-B00D2E9D5B30}" name="PivotTable2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colHeaderCaption="Order Dates">
  <location ref="A3:F10" firstHeaderRow="1" firstDataRow="4" firstDataCol="1"/>
  <pivotFields count="15">
    <pivotField showAll="0"/>
    <pivotField axis="axisCol"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dataField="1"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n="Quarter 1" sd="0" x="1"/>
        <item n="Quarter 2" sd="0" x="2"/>
        <item n="Quarter 3" sd="0" x="3"/>
        <item n="Quarter 4" sd="0" x="4"/>
        <item sd="0" x="5"/>
        <item t="default"/>
      </items>
    </pivotField>
  </pivotFields>
  <rowFields count="1">
    <field x="4"/>
  </rowFields>
  <rowItems count="4">
    <i>
      <x/>
    </i>
    <i>
      <x v="1"/>
    </i>
    <i>
      <x v="2"/>
    </i>
    <i t="grand">
      <x/>
    </i>
  </rowItems>
  <colFields count="3">
    <field x="14"/>
    <field x="13"/>
    <field x="1"/>
  </colFields>
  <colItems count="5">
    <i>
      <x v="1"/>
    </i>
    <i>
      <x v="2"/>
    </i>
    <i>
      <x v="3"/>
    </i>
    <i>
      <x v="4"/>
    </i>
    <i t="grand">
      <x/>
    </i>
  </colItems>
  <dataFields count="1">
    <dataField name="Profit of product categories by quarter" fld="10" baseField="0" baseItem="0" numFmtId="44"/>
  </dataFields>
  <formats count="1">
    <format dxfId="2">
      <pivotArea outline="0" collapsedLevelsAreSubtotals="1" fieldPosition="0"/>
    </format>
  </formats>
  <chartFormats count="8">
    <chartFormat chart="1" format="0" series="1">
      <pivotArea type="data" outline="0" fieldPosition="0">
        <references count="2">
          <reference field="4294967294" count="1" selected="0">
            <x v="0"/>
          </reference>
          <reference field="14" count="1" selected="0">
            <x v="1"/>
          </reference>
        </references>
      </pivotArea>
    </chartFormat>
    <chartFormat chart="1" format="1" series="1">
      <pivotArea type="data" outline="0" fieldPosition="0">
        <references count="2">
          <reference field="4294967294" count="1" selected="0">
            <x v="0"/>
          </reference>
          <reference field="14" count="1" selected="0">
            <x v="2"/>
          </reference>
        </references>
      </pivotArea>
    </chartFormat>
    <chartFormat chart="1" format="2" series="1">
      <pivotArea type="data" outline="0" fieldPosition="0">
        <references count="2">
          <reference field="4294967294" count="1" selected="0">
            <x v="0"/>
          </reference>
          <reference field="14" count="1" selected="0">
            <x v="3"/>
          </reference>
        </references>
      </pivotArea>
    </chartFormat>
    <chartFormat chart="1" format="3" series="1">
      <pivotArea type="data" outline="0" fieldPosition="0">
        <references count="2">
          <reference field="4294967294" count="1" selected="0">
            <x v="0"/>
          </reference>
          <reference field="14" count="1" selected="0">
            <x v="4"/>
          </reference>
        </references>
      </pivotArea>
    </chartFormat>
    <chartFormat chart="4" format="0" series="1">
      <pivotArea type="data" outline="0" fieldPosition="0">
        <references count="2">
          <reference field="4294967294" count="1" selected="0">
            <x v="0"/>
          </reference>
          <reference field="14" count="1" selected="0">
            <x v="1"/>
          </reference>
        </references>
      </pivotArea>
    </chartFormat>
    <chartFormat chart="4" format="1" series="1">
      <pivotArea type="data" outline="0" fieldPosition="0">
        <references count="2">
          <reference field="4294967294" count="1" selected="0">
            <x v="0"/>
          </reference>
          <reference field="14" count="1" selected="0">
            <x v="2"/>
          </reference>
        </references>
      </pivotArea>
    </chartFormat>
    <chartFormat chart="4" format="2" series="1">
      <pivotArea type="data" outline="0" fieldPosition="0">
        <references count="2">
          <reference field="4294967294" count="1" selected="0">
            <x v="0"/>
          </reference>
          <reference field="14" count="1" selected="0">
            <x v="3"/>
          </reference>
        </references>
      </pivotArea>
    </chartFormat>
    <chartFormat chart="4" format="3"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13A2-F9C4-4931-B4A3-973921994444}">
  <sheetPr codeName="Sheet8"/>
  <dimension ref="A1:B10"/>
  <sheetViews>
    <sheetView tabSelected="1" workbookViewId="0">
      <selection activeCell="B9" sqref="B9"/>
    </sheetView>
  </sheetViews>
  <sheetFormatPr defaultRowHeight="14.5" x14ac:dyDescent="0.35"/>
  <cols>
    <col min="1" max="1" width="50.7265625" customWidth="1"/>
    <col min="2" max="2" width="41.453125" customWidth="1"/>
  </cols>
  <sheetData>
    <row r="1" spans="1:2" ht="45.5" x14ac:dyDescent="0.9">
      <c r="A1" s="30" t="s">
        <v>613</v>
      </c>
    </row>
    <row r="2" spans="1:2" ht="23" x14ac:dyDescent="0.5">
      <c r="A2" s="36" t="s">
        <v>628</v>
      </c>
    </row>
    <row r="3" spans="1:2" x14ac:dyDescent="0.35">
      <c r="A3" s="31" t="s">
        <v>614</v>
      </c>
    </row>
    <row r="4" spans="1:2" x14ac:dyDescent="0.35">
      <c r="A4" s="31" t="s">
        <v>615</v>
      </c>
      <c r="B4" t="s">
        <v>624</v>
      </c>
    </row>
    <row r="5" spans="1:2" ht="304.5" x14ac:dyDescent="0.35">
      <c r="A5" s="31" t="s">
        <v>616</v>
      </c>
      <c r="B5" s="35" t="s">
        <v>626</v>
      </c>
    </row>
    <row r="6" spans="1:2" x14ac:dyDescent="0.35">
      <c r="A6" s="31" t="s">
        <v>617</v>
      </c>
    </row>
    <row r="7" spans="1:2" x14ac:dyDescent="0.35">
      <c r="A7" s="31" t="s">
        <v>618</v>
      </c>
      <c r="B7" t="s">
        <v>627</v>
      </c>
    </row>
    <row r="8" spans="1:2" x14ac:dyDescent="0.35">
      <c r="A8" s="31" t="s">
        <v>619</v>
      </c>
      <c r="B8" t="s">
        <v>629</v>
      </c>
    </row>
    <row r="9" spans="1:2" x14ac:dyDescent="0.35">
      <c r="A9" s="31" t="s">
        <v>620</v>
      </c>
      <c r="B9" t="s">
        <v>625</v>
      </c>
    </row>
    <row r="10" spans="1:2" x14ac:dyDescent="0.35">
      <c r="A10" s="31" t="s">
        <v>621</v>
      </c>
    </row>
  </sheetData>
  <hyperlinks>
    <hyperlink ref="A3" location="'Q1 - Quarterly'!A1" display="Q1 - Quarterly" xr:uid="{05E42ABE-B098-4A96-B2F2-E2A8E251ABD8}"/>
    <hyperlink ref="A4" location="'Q2 - 2018 vs 2019'!A1" display="Q2 - 2018 vs 2019" xr:uid="{F0ED0FAD-41C7-4008-88E1-6DB929F39F32}"/>
    <hyperlink ref="A5" location="'Q3 - Quantity Sold'!A1" display="Q3 - Quantity Sold" xr:uid="{B13C6071-21A8-4098-969F-33A6D50C0286}"/>
    <hyperlink ref="A6" location="'Q4 - Profit by Category'!A1" display="Q4 - Profit by Category" xr:uid="{51CBF404-A881-4E8E-8DB3-593F58AD2198}"/>
    <hyperlink ref="A7" location="'Q5 - Sales by Month'!A1" display="Q5 - Sales by Month" xr:uid="{C291359D-CDED-4BCC-8A78-6EAADCA24506}"/>
    <hyperlink ref="A8" location="'Q6 - Qtr. Profit'!A1" display="Q6 - Qtr. Profit" xr:uid="{3FBA4102-5B5A-450C-B932-EA2CB81648F1}"/>
    <hyperlink ref="A9" location="'Q7 - Revenue Analysis'!A1" display="Q7 - Revenue Analysis" xr:uid="{3723A7F6-64BD-4A54-8472-450A35E420B6}"/>
    <hyperlink ref="A10" location="'Raw Data'!A1" display="Raw Data" xr:uid="{C991437F-5139-4F70-AE4D-E74FED5C09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J23"/>
  <sheetViews>
    <sheetView topLeftCell="A7" workbookViewId="0">
      <selection activeCell="D8" sqref="D8"/>
    </sheetView>
  </sheetViews>
  <sheetFormatPr defaultRowHeight="14.5" x14ac:dyDescent="0.35"/>
  <cols>
    <col min="1" max="1" width="50.90625" customWidth="1"/>
    <col min="2" max="6" width="12.08984375" bestFit="1" customWidth="1"/>
  </cols>
  <sheetData>
    <row r="1" spans="1:10" ht="15.5" x14ac:dyDescent="0.35">
      <c r="A1" s="21" t="s">
        <v>582</v>
      </c>
    </row>
    <row r="2" spans="1:10" x14ac:dyDescent="0.35">
      <c r="A2" s="18" t="s">
        <v>560</v>
      </c>
      <c r="B2" s="18" t="s">
        <v>561</v>
      </c>
      <c r="C2" s="18" t="s">
        <v>562</v>
      </c>
      <c r="D2" s="18" t="s">
        <v>563</v>
      </c>
      <c r="E2" s="18" t="s">
        <v>564</v>
      </c>
      <c r="F2" s="33" t="s">
        <v>565</v>
      </c>
      <c r="G2" s="18"/>
      <c r="H2" s="18"/>
      <c r="I2" s="18"/>
      <c r="J2" s="18"/>
    </row>
    <row r="3" spans="1:10" x14ac:dyDescent="0.35">
      <c r="A3" s="17" t="s">
        <v>550</v>
      </c>
      <c r="B3" s="14">
        <v>97.93</v>
      </c>
      <c r="C3" s="14">
        <v>15926.699999999999</v>
      </c>
      <c r="D3" s="14">
        <v>5650.54</v>
      </c>
      <c r="E3" s="14">
        <v>22312.530000000002</v>
      </c>
      <c r="F3" s="34">
        <f>SUM(B3:E3)</f>
        <v>43987.7</v>
      </c>
    </row>
    <row r="4" spans="1:10" x14ac:dyDescent="0.35">
      <c r="A4" s="17" t="s">
        <v>551</v>
      </c>
      <c r="B4" s="14">
        <v>19512.77</v>
      </c>
      <c r="C4" s="14">
        <v>4464.8099999999995</v>
      </c>
      <c r="D4" s="14">
        <v>31240.100000000006</v>
      </c>
      <c r="E4" s="14">
        <v>9440.9200000000019</v>
      </c>
      <c r="F4" s="34">
        <f t="shared" ref="F4:F19" si="0">SUM(B4:E4)</f>
        <v>64658.600000000006</v>
      </c>
    </row>
    <row r="5" spans="1:10" x14ac:dyDescent="0.35">
      <c r="A5" s="17" t="s">
        <v>541</v>
      </c>
      <c r="B5" s="14">
        <v>5113.49</v>
      </c>
      <c r="C5" s="14">
        <v>1992.45</v>
      </c>
      <c r="D5" s="14">
        <v>1381.38</v>
      </c>
      <c r="E5" s="14">
        <v>5700.23</v>
      </c>
      <c r="F5" s="34">
        <f t="shared" si="0"/>
        <v>14187.55</v>
      </c>
    </row>
    <row r="6" spans="1:10" x14ac:dyDescent="0.35">
      <c r="A6" s="17" t="s">
        <v>547</v>
      </c>
      <c r="B6" s="14">
        <v>21754.38</v>
      </c>
      <c r="C6" s="14">
        <v>30483.52</v>
      </c>
      <c r="D6" s="14">
        <v>14070.48</v>
      </c>
      <c r="E6" s="14">
        <v>27600.42</v>
      </c>
      <c r="F6" s="34">
        <f t="shared" si="0"/>
        <v>93908.800000000003</v>
      </c>
    </row>
    <row r="7" spans="1:10" x14ac:dyDescent="0.35">
      <c r="A7" s="17" t="s">
        <v>556</v>
      </c>
      <c r="B7" s="14">
        <v>11109.52</v>
      </c>
      <c r="C7" s="14">
        <v>16658.189999999999</v>
      </c>
      <c r="D7" s="14">
        <v>3320.53</v>
      </c>
      <c r="E7" s="14">
        <v>8567.4599999999991</v>
      </c>
      <c r="F7" s="34">
        <f t="shared" si="0"/>
        <v>39655.699999999997</v>
      </c>
    </row>
    <row r="8" spans="1:10" x14ac:dyDescent="0.35">
      <c r="A8" s="17" t="s">
        <v>546</v>
      </c>
      <c r="B8" s="14">
        <v>0</v>
      </c>
      <c r="C8" s="14">
        <v>2249.0500000000002</v>
      </c>
      <c r="D8" s="14"/>
      <c r="E8" s="14">
        <v>14475.74</v>
      </c>
      <c r="F8" s="34">
        <f t="shared" si="0"/>
        <v>16724.79</v>
      </c>
    </row>
    <row r="9" spans="1:10" x14ac:dyDescent="0.35">
      <c r="A9" s="17" t="s">
        <v>557</v>
      </c>
      <c r="B9" s="14">
        <v>945.06999999999994</v>
      </c>
      <c r="C9" s="14">
        <v>1036.6400000000001</v>
      </c>
      <c r="D9" s="14">
        <v>1049.1000000000001</v>
      </c>
      <c r="E9" s="14">
        <v>96.93</v>
      </c>
      <c r="F9" s="34">
        <f t="shared" si="0"/>
        <v>3127.7400000000002</v>
      </c>
    </row>
    <row r="10" spans="1:10" x14ac:dyDescent="0.35">
      <c r="A10" s="17" t="s">
        <v>543</v>
      </c>
      <c r="B10" s="14">
        <v>66.19</v>
      </c>
      <c r="C10" s="14">
        <v>205.19</v>
      </c>
      <c r="D10" s="14">
        <v>172.71</v>
      </c>
      <c r="E10" s="14">
        <v>306.90999999999997</v>
      </c>
      <c r="F10" s="34">
        <f t="shared" si="0"/>
        <v>751</v>
      </c>
    </row>
    <row r="11" spans="1:10" x14ac:dyDescent="0.35">
      <c r="A11" s="17" t="s">
        <v>553</v>
      </c>
      <c r="B11" s="14">
        <v>14563.22</v>
      </c>
      <c r="C11" s="14">
        <v>20323.21</v>
      </c>
      <c r="D11" s="14">
        <v>9906.66</v>
      </c>
      <c r="E11" s="14">
        <v>16652.549999999996</v>
      </c>
      <c r="F11" s="34">
        <f t="shared" si="0"/>
        <v>61445.639999999992</v>
      </c>
    </row>
    <row r="12" spans="1:10" x14ac:dyDescent="0.35">
      <c r="A12" s="17" t="s">
        <v>549</v>
      </c>
      <c r="B12" s="14">
        <v>6275.58</v>
      </c>
      <c r="C12" s="14">
        <v>31417.599999999999</v>
      </c>
      <c r="D12" s="14">
        <v>28435.739999999998</v>
      </c>
      <c r="E12" s="14">
        <v>66397.87000000001</v>
      </c>
      <c r="F12" s="34">
        <f t="shared" si="0"/>
        <v>132526.79</v>
      </c>
    </row>
    <row r="13" spans="1:10" x14ac:dyDescent="0.35">
      <c r="A13" s="17" t="s">
        <v>554</v>
      </c>
      <c r="B13" s="14">
        <v>3790.65</v>
      </c>
      <c r="C13" s="14">
        <v>4686.49</v>
      </c>
      <c r="D13" s="14">
        <v>5476.64</v>
      </c>
      <c r="E13" s="14">
        <v>10088.529999999999</v>
      </c>
      <c r="F13" s="34">
        <f t="shared" si="0"/>
        <v>24042.309999999998</v>
      </c>
    </row>
    <row r="14" spans="1:10" x14ac:dyDescent="0.35">
      <c r="A14" s="17" t="s">
        <v>544</v>
      </c>
      <c r="B14" s="14">
        <v>700.51</v>
      </c>
      <c r="C14" s="14">
        <v>1217.1299999999999</v>
      </c>
      <c r="D14" s="14">
        <v>3388</v>
      </c>
      <c r="E14" s="14">
        <v>2722.91</v>
      </c>
      <c r="F14" s="34">
        <f t="shared" si="0"/>
        <v>8028.5499999999993</v>
      </c>
    </row>
    <row r="15" spans="1:10" x14ac:dyDescent="0.35">
      <c r="A15" s="17" t="s">
        <v>555</v>
      </c>
      <c r="B15" s="14">
        <v>399.87</v>
      </c>
      <c r="C15" s="14">
        <v>196.92000000000002</v>
      </c>
      <c r="D15" s="14">
        <v>368.50999999999993</v>
      </c>
      <c r="E15" s="14">
        <v>294.29000000000002</v>
      </c>
      <c r="F15" s="34">
        <f t="shared" si="0"/>
        <v>1259.5899999999999</v>
      </c>
    </row>
    <row r="16" spans="1:10" x14ac:dyDescent="0.35">
      <c r="A16" s="17" t="s">
        <v>548</v>
      </c>
      <c r="B16" s="14">
        <v>1361.35</v>
      </c>
      <c r="C16" s="14">
        <v>325.97000000000003</v>
      </c>
      <c r="D16" s="14">
        <v>548.93000000000006</v>
      </c>
      <c r="E16" s="14">
        <v>262.77999999999997</v>
      </c>
      <c r="F16" s="34">
        <f t="shared" si="0"/>
        <v>2499.0299999999997</v>
      </c>
    </row>
    <row r="17" spans="1:6" x14ac:dyDescent="0.35">
      <c r="A17" s="17" t="s">
        <v>539</v>
      </c>
      <c r="B17" s="14">
        <v>6416.6299999999992</v>
      </c>
      <c r="C17" s="14">
        <v>25196.440000000002</v>
      </c>
      <c r="D17" s="14">
        <v>11573.560000000001</v>
      </c>
      <c r="E17" s="14">
        <v>10610.140000000003</v>
      </c>
      <c r="F17" s="34">
        <f t="shared" si="0"/>
        <v>53796.770000000004</v>
      </c>
    </row>
    <row r="18" spans="1:6" x14ac:dyDescent="0.35">
      <c r="A18" s="17" t="s">
        <v>542</v>
      </c>
      <c r="B18" s="14">
        <v>14076.27</v>
      </c>
      <c r="C18" s="14">
        <v>3028.86</v>
      </c>
      <c r="D18" s="14">
        <v>17854.252</v>
      </c>
      <c r="E18" s="14">
        <v>21854.911999999997</v>
      </c>
      <c r="F18" s="34">
        <f t="shared" si="0"/>
        <v>56814.293999999994</v>
      </c>
    </row>
    <row r="19" spans="1:6" x14ac:dyDescent="0.35">
      <c r="A19" s="17" t="s">
        <v>552</v>
      </c>
      <c r="B19" s="14">
        <v>10893.378999999999</v>
      </c>
      <c r="C19" s="14">
        <v>33076.908499999998</v>
      </c>
      <c r="D19" s="14">
        <v>25415.0255</v>
      </c>
      <c r="E19" s="14">
        <v>26527.106</v>
      </c>
      <c r="F19" s="34">
        <f t="shared" si="0"/>
        <v>95912.418999999994</v>
      </c>
    </row>
    <row r="20" spans="1:6" x14ac:dyDescent="0.35">
      <c r="B20" s="14"/>
      <c r="C20" s="14"/>
      <c r="D20" s="14"/>
      <c r="E20" s="14"/>
      <c r="F20" s="32"/>
    </row>
    <row r="21" spans="1:6" x14ac:dyDescent="0.35">
      <c r="A21" s="19" t="s">
        <v>565</v>
      </c>
      <c r="B21" s="14">
        <f>SUM(B3:B19)</f>
        <v>117076.80900000001</v>
      </c>
      <c r="C21" s="14">
        <f t="shared" ref="C21:F21" si="1">SUM(C3:C19)</f>
        <v>192486.0785</v>
      </c>
      <c r="D21" s="14">
        <f t="shared" si="1"/>
        <v>159852.15749999997</v>
      </c>
      <c r="E21" s="14">
        <f t="shared" si="1"/>
        <v>243912.22800000003</v>
      </c>
      <c r="F21" s="32">
        <f t="shared" si="1"/>
        <v>713327.27300000004</v>
      </c>
    </row>
    <row r="22" spans="1:6" x14ac:dyDescent="0.35">
      <c r="A22" s="19" t="s">
        <v>575</v>
      </c>
      <c r="B22" s="14">
        <f>AVERAGE(B3:B19)</f>
        <v>6886.8711176470597</v>
      </c>
      <c r="C22" s="14">
        <f t="shared" ref="C22:F22" si="2">AVERAGE(C3:C19)</f>
        <v>11322.710500000001</v>
      </c>
      <c r="D22" s="14">
        <f t="shared" si="2"/>
        <v>9990.7598437499983</v>
      </c>
      <c r="E22" s="14">
        <f t="shared" si="2"/>
        <v>14347.77811764706</v>
      </c>
      <c r="F22" s="32">
        <f t="shared" si="2"/>
        <v>41960.427823529411</v>
      </c>
    </row>
    <row r="23" spans="1:6" x14ac:dyDescent="0.35">
      <c r="A23" s="19" t="s">
        <v>566</v>
      </c>
      <c r="B23" s="14">
        <f>MEDIAN(B3:B19)</f>
        <v>5113.49</v>
      </c>
      <c r="C23" s="14">
        <f t="shared" ref="C23:F23" si="3">MEDIAN(C3:C19)</f>
        <v>4464.8099999999995</v>
      </c>
      <c r="D23" s="14">
        <f t="shared" si="3"/>
        <v>5563.59</v>
      </c>
      <c r="E23" s="14">
        <f t="shared" si="3"/>
        <v>10088.529999999999</v>
      </c>
      <c r="F23" s="32">
        <f t="shared" si="3"/>
        <v>39655.699999999997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23"/>
  <sheetViews>
    <sheetView zoomScale="65" workbookViewId="0">
      <selection activeCell="A17" sqref="A17"/>
    </sheetView>
  </sheetViews>
  <sheetFormatPr defaultRowHeight="14.5" x14ac:dyDescent="0.35"/>
  <cols>
    <col min="1" max="1" width="58.90625" customWidth="1"/>
    <col min="2" max="2" width="13.6328125" bestFit="1" customWidth="1"/>
    <col min="3" max="3" width="12.08984375" bestFit="1" customWidth="1"/>
  </cols>
  <sheetData>
    <row r="1" spans="1:4" ht="15.5" x14ac:dyDescent="0.35">
      <c r="A1" s="21" t="s">
        <v>581</v>
      </c>
    </row>
    <row r="2" spans="1:4" x14ac:dyDescent="0.35">
      <c r="A2" s="24" t="s">
        <v>560</v>
      </c>
      <c r="B2" s="24">
        <v>2018</v>
      </c>
      <c r="C2" s="24">
        <v>2019</v>
      </c>
      <c r="D2" s="24" t="s">
        <v>567</v>
      </c>
    </row>
    <row r="3" spans="1:4" x14ac:dyDescent="0.35">
      <c r="A3" s="26" t="s">
        <v>550</v>
      </c>
      <c r="B3" s="14">
        <v>1168254.7</v>
      </c>
      <c r="C3" s="14">
        <v>43987.7</v>
      </c>
      <c r="D3" s="3">
        <f>(C3-B3)/B3</f>
        <v>-0.9623475086383132</v>
      </c>
    </row>
    <row r="4" spans="1:4" x14ac:dyDescent="0.35">
      <c r="A4" s="26" t="s">
        <v>551</v>
      </c>
      <c r="B4" s="14">
        <v>56557.600000000006</v>
      </c>
      <c r="C4" s="14">
        <v>64658.600000000006</v>
      </c>
      <c r="D4" s="3">
        <f t="shared" ref="D4:D19" si="0">(C4-B4)/B4</f>
        <v>0.14323450782918651</v>
      </c>
    </row>
    <row r="5" spans="1:4" x14ac:dyDescent="0.35">
      <c r="A5" s="26" t="s">
        <v>541</v>
      </c>
      <c r="B5" s="14">
        <v>11153.55</v>
      </c>
      <c r="C5" s="14">
        <v>14187.55</v>
      </c>
      <c r="D5" s="3">
        <f t="shared" si="0"/>
        <v>0.2720210157304177</v>
      </c>
    </row>
    <row r="6" spans="1:4" x14ac:dyDescent="0.35">
      <c r="A6" s="26" t="s">
        <v>547</v>
      </c>
      <c r="B6" s="14">
        <v>91493.8</v>
      </c>
      <c r="C6" s="14">
        <v>93908.800000000003</v>
      </c>
      <c r="D6" s="3">
        <f t="shared" si="0"/>
        <v>2.6395231152274799E-2</v>
      </c>
    </row>
    <row r="7" spans="1:4" x14ac:dyDescent="0.35">
      <c r="A7" s="26" t="s">
        <v>556</v>
      </c>
      <c r="B7" s="14">
        <v>34539.699999999997</v>
      </c>
      <c r="C7" s="14">
        <v>39655.699999999997</v>
      </c>
      <c r="D7" s="3">
        <f t="shared" si="0"/>
        <v>0.14811941041757748</v>
      </c>
    </row>
    <row r="8" spans="1:4" x14ac:dyDescent="0.35">
      <c r="A8" s="26" t="s">
        <v>546</v>
      </c>
      <c r="B8" s="14">
        <v>18621.79</v>
      </c>
      <c r="C8" s="14">
        <v>16724.79</v>
      </c>
      <c r="D8" s="3">
        <f t="shared" si="0"/>
        <v>-0.10186990616906323</v>
      </c>
    </row>
    <row r="9" spans="1:4" x14ac:dyDescent="0.35">
      <c r="A9" s="26" t="s">
        <v>557</v>
      </c>
      <c r="B9" s="14">
        <v>5364.74</v>
      </c>
      <c r="C9" s="14">
        <v>3127.7400000000002</v>
      </c>
      <c r="D9" s="3">
        <f t="shared" si="0"/>
        <v>-0.41698199726361385</v>
      </c>
    </row>
    <row r="10" spans="1:4" x14ac:dyDescent="0.35">
      <c r="A10" s="26" t="s">
        <v>543</v>
      </c>
      <c r="B10" s="14">
        <v>550</v>
      </c>
      <c r="C10" s="14">
        <v>751</v>
      </c>
      <c r="D10" s="3">
        <f t="shared" si="0"/>
        <v>0.36545454545454548</v>
      </c>
    </row>
    <row r="11" spans="1:4" x14ac:dyDescent="0.35">
      <c r="A11" s="26" t="s">
        <v>553</v>
      </c>
      <c r="B11" s="14">
        <v>59738.639999999992</v>
      </c>
      <c r="C11" s="14">
        <v>61445.639999999992</v>
      </c>
      <c r="D11" s="3">
        <f t="shared" si="0"/>
        <v>2.8574470393032052E-2</v>
      </c>
    </row>
    <row r="12" spans="1:4" x14ac:dyDescent="0.35">
      <c r="A12" s="26" t="s">
        <v>549</v>
      </c>
      <c r="B12" s="14">
        <v>125411.79000000001</v>
      </c>
      <c r="C12" s="14">
        <v>132526.79</v>
      </c>
      <c r="D12" s="3">
        <f t="shared" si="0"/>
        <v>5.6733103004111489E-2</v>
      </c>
    </row>
    <row r="13" spans="1:4" x14ac:dyDescent="0.35">
      <c r="A13" s="26" t="s">
        <v>554</v>
      </c>
      <c r="B13" s="14">
        <v>20434.309999999998</v>
      </c>
      <c r="C13" s="14">
        <v>24042.309999999998</v>
      </c>
      <c r="D13" s="3">
        <f t="shared" si="0"/>
        <v>0.17656578568104334</v>
      </c>
    </row>
    <row r="14" spans="1:4" x14ac:dyDescent="0.35">
      <c r="A14" s="26" t="s">
        <v>544</v>
      </c>
      <c r="B14" s="14">
        <v>12033.55</v>
      </c>
      <c r="C14" s="14">
        <v>8028.5499999999993</v>
      </c>
      <c r="D14" s="3">
        <f t="shared" si="0"/>
        <v>-0.33281949216980861</v>
      </c>
    </row>
    <row r="15" spans="1:4" x14ac:dyDescent="0.35">
      <c r="A15" s="26" t="s">
        <v>555</v>
      </c>
      <c r="B15" s="14">
        <v>6890.59</v>
      </c>
      <c r="C15" s="14">
        <v>1259.5899999999999</v>
      </c>
      <c r="D15" s="3">
        <f t="shared" si="0"/>
        <v>-0.81720142977596977</v>
      </c>
    </row>
    <row r="16" spans="1:4" x14ac:dyDescent="0.35">
      <c r="A16" s="26" t="s">
        <v>548</v>
      </c>
      <c r="B16" s="14">
        <v>3299.05</v>
      </c>
      <c r="C16" s="14">
        <v>2499.0299999999997</v>
      </c>
      <c r="D16" s="3">
        <f t="shared" si="0"/>
        <v>-0.24250011366908666</v>
      </c>
    </row>
    <row r="17" spans="1:4" x14ac:dyDescent="0.35">
      <c r="A17" s="26" t="s">
        <v>539</v>
      </c>
      <c r="B17" s="14">
        <v>38796.770000000004</v>
      </c>
      <c r="C17" s="14">
        <v>53796.770000000004</v>
      </c>
      <c r="D17" s="3">
        <f t="shared" si="0"/>
        <v>0.38663012410569225</v>
      </c>
    </row>
    <row r="18" spans="1:4" x14ac:dyDescent="0.35">
      <c r="A18" s="26" t="s">
        <v>542</v>
      </c>
      <c r="B18" s="14">
        <v>55314.293999999994</v>
      </c>
      <c r="C18" s="14">
        <v>56814.293999999994</v>
      </c>
      <c r="D18" s="3">
        <f t="shared" si="0"/>
        <v>2.7117764532979489E-2</v>
      </c>
    </row>
    <row r="19" spans="1:4" x14ac:dyDescent="0.35">
      <c r="A19" s="26" t="s">
        <v>552</v>
      </c>
      <c r="B19" s="14">
        <v>85759.418999999994</v>
      </c>
      <c r="C19" s="14">
        <v>95912.418999999994</v>
      </c>
      <c r="D19" s="3">
        <f t="shared" si="0"/>
        <v>0.11838932817397003</v>
      </c>
    </row>
    <row r="20" spans="1:4" x14ac:dyDescent="0.35">
      <c r="B20" s="14"/>
      <c r="C20" s="14"/>
    </row>
    <row r="21" spans="1:4" x14ac:dyDescent="0.35">
      <c r="A21" s="19" t="s">
        <v>576</v>
      </c>
      <c r="B21" s="14">
        <f>SUM(B3:B19)</f>
        <v>1794214.2930000003</v>
      </c>
      <c r="C21" s="14">
        <f>SUM(C3:C19)</f>
        <v>713327.27300000004</v>
      </c>
    </row>
    <row r="22" spans="1:4" x14ac:dyDescent="0.35">
      <c r="A22" s="19" t="s">
        <v>575</v>
      </c>
      <c r="B22" s="14">
        <f>AVERAGE(B3:B19)</f>
        <v>105542.01723529413</v>
      </c>
      <c r="C22" s="14">
        <f>AVERAGE(C3:C19)</f>
        <v>41960.427823529411</v>
      </c>
    </row>
    <row r="23" spans="1:4" x14ac:dyDescent="0.35">
      <c r="A23" s="19" t="s">
        <v>577</v>
      </c>
      <c r="B23" s="14">
        <f>STDEV(B3:B19)</f>
        <v>276196.74421812623</v>
      </c>
      <c r="C23" s="14">
        <f>STDEV(C3:C19)</f>
        <v>39033.087947444379</v>
      </c>
    </row>
  </sheetData>
  <conditionalFormatting sqref="D3:D19">
    <cfRule type="top10" dxfId="1" priority="1" rank="3"/>
    <cfRule type="cellIs" dxfId="0" priority="2" operator="lessThan">
      <formula>0</formula>
    </cfRule>
  </conditionalFormatting>
  <pageMargins left="0.7" right="0.7" top="0.75" bottom="0.75" header="0.3" footer="0.3"/>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E12"/>
  <sheetViews>
    <sheetView workbookViewId="0">
      <selection activeCell="P5" sqref="P5"/>
    </sheetView>
  </sheetViews>
  <sheetFormatPr defaultRowHeight="14.5" x14ac:dyDescent="0.35"/>
  <cols>
    <col min="1" max="1" width="21.54296875" bestFit="1" customWidth="1"/>
    <col min="2" max="2" width="21.81640625" bestFit="1" customWidth="1"/>
    <col min="3" max="3" width="14" bestFit="1" customWidth="1"/>
  </cols>
  <sheetData>
    <row r="1" spans="1:5" ht="18.5" x14ac:dyDescent="0.45">
      <c r="B1" s="20" t="s">
        <v>569</v>
      </c>
    </row>
    <row r="2" spans="1:5" x14ac:dyDescent="0.35">
      <c r="A2" s="16" t="s">
        <v>568</v>
      </c>
      <c r="B2" s="16" t="s">
        <v>578</v>
      </c>
      <c r="C2" s="16" t="s">
        <v>579</v>
      </c>
    </row>
    <row r="3" spans="1:5" x14ac:dyDescent="0.35">
      <c r="A3" s="25" t="s">
        <v>540</v>
      </c>
      <c r="B3">
        <v>2438</v>
      </c>
      <c r="C3" s="27">
        <f>B3+(B3*$B$7)</f>
        <v>2681.8</v>
      </c>
    </row>
    <row r="4" spans="1:5" x14ac:dyDescent="0.35">
      <c r="A4" s="25" t="s">
        <v>538</v>
      </c>
      <c r="B4">
        <v>6824</v>
      </c>
      <c r="C4" s="27">
        <f>B4+(B4*$B$7)</f>
        <v>7506.4</v>
      </c>
    </row>
    <row r="5" spans="1:5" x14ac:dyDescent="0.35">
      <c r="A5" s="25" t="s">
        <v>545</v>
      </c>
      <c r="B5">
        <v>3075</v>
      </c>
      <c r="C5" s="27">
        <f t="shared" ref="C5" si="0">B5+(B5*$B$7)</f>
        <v>3382.5</v>
      </c>
    </row>
    <row r="7" spans="1:5" x14ac:dyDescent="0.35">
      <c r="A7" s="19" t="s">
        <v>580</v>
      </c>
      <c r="B7">
        <v>0.1</v>
      </c>
    </row>
    <row r="12" spans="1:5" x14ac:dyDescent="0.35">
      <c r="E12"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3EB4-5659-4F71-AB81-12B2A42A1899}">
  <sheetPr codeName="Sheet5"/>
  <dimension ref="A3:C24"/>
  <sheetViews>
    <sheetView workbookViewId="0">
      <selection activeCell="B3" sqref="B3"/>
    </sheetView>
  </sheetViews>
  <sheetFormatPr defaultRowHeight="14.5" x14ac:dyDescent="0.35"/>
  <cols>
    <col min="1" max="1" width="36.7265625" bestFit="1" customWidth="1"/>
    <col min="2" max="2" width="14.1796875" bestFit="1" customWidth="1"/>
    <col min="3" max="3" width="31.6328125" bestFit="1" customWidth="1"/>
  </cols>
  <sheetData>
    <row r="3" spans="1:3" x14ac:dyDescent="0.35">
      <c r="A3" s="22" t="s">
        <v>586</v>
      </c>
      <c r="B3" t="s">
        <v>604</v>
      </c>
      <c r="C3" t="s">
        <v>603</v>
      </c>
    </row>
    <row r="4" spans="1:3" x14ac:dyDescent="0.35">
      <c r="A4" s="2" t="s">
        <v>540</v>
      </c>
      <c r="B4" s="5">
        <v>6241.52</v>
      </c>
      <c r="C4" s="23">
        <v>8.0211542405893926E-2</v>
      </c>
    </row>
    <row r="5" spans="1:3" x14ac:dyDescent="0.35">
      <c r="A5" s="28" t="s">
        <v>541</v>
      </c>
      <c r="B5" s="5">
        <v>-5042.1499999999996</v>
      </c>
      <c r="C5" s="23">
        <v>-6.4798098626917475E-2</v>
      </c>
    </row>
    <row r="6" spans="1:3" x14ac:dyDescent="0.35">
      <c r="A6" s="28" t="s">
        <v>547</v>
      </c>
      <c r="B6" s="5">
        <v>7245.1599999999989</v>
      </c>
      <c r="C6" s="23">
        <v>9.3109604483761377E-2</v>
      </c>
    </row>
    <row r="7" spans="1:3" x14ac:dyDescent="0.35">
      <c r="A7" s="28" t="s">
        <v>553</v>
      </c>
      <c r="B7" s="5">
        <v>9148.8799999999992</v>
      </c>
      <c r="C7" s="23">
        <v>0.11757484972994313</v>
      </c>
    </row>
    <row r="8" spans="1:3" x14ac:dyDescent="0.35">
      <c r="A8" s="28" t="s">
        <v>542</v>
      </c>
      <c r="B8" s="5">
        <v>-5110.369999999999</v>
      </c>
      <c r="C8" s="23">
        <v>-6.5674813180893118E-2</v>
      </c>
    </row>
    <row r="9" spans="1:3" x14ac:dyDescent="0.35">
      <c r="A9" s="2" t="s">
        <v>538</v>
      </c>
      <c r="B9" s="5">
        <v>18281.579999999991</v>
      </c>
      <c r="C9" s="23">
        <v>0.23494176569437275</v>
      </c>
    </row>
    <row r="10" spans="1:3" x14ac:dyDescent="0.35">
      <c r="A10" s="28" t="s">
        <v>550</v>
      </c>
      <c r="B10" s="5">
        <v>2938.81</v>
      </c>
      <c r="C10" s="23">
        <v>3.7767480187176378E-2</v>
      </c>
    </row>
    <row r="11" spans="1:3" x14ac:dyDescent="0.35">
      <c r="A11" s="28" t="s">
        <v>551</v>
      </c>
      <c r="B11" s="5">
        <v>16684.449999999993</v>
      </c>
      <c r="C11" s="23">
        <v>0.21441659542771893</v>
      </c>
    </row>
    <row r="12" spans="1:3" x14ac:dyDescent="0.35">
      <c r="A12" s="28" t="s">
        <v>557</v>
      </c>
      <c r="B12" s="5">
        <v>157.71999999999997</v>
      </c>
      <c r="C12" s="23">
        <v>2.0269044188366914E-3</v>
      </c>
    </row>
    <row r="13" spans="1:3" x14ac:dyDescent="0.35">
      <c r="A13" s="28" t="s">
        <v>543</v>
      </c>
      <c r="B13" s="5">
        <v>196.51999999999998</v>
      </c>
      <c r="C13" s="23">
        <v>2.5255342149999153E-3</v>
      </c>
    </row>
    <row r="14" spans="1:3" x14ac:dyDescent="0.35">
      <c r="A14" s="28" t="s">
        <v>554</v>
      </c>
      <c r="B14" s="5">
        <v>1633.2300000000005</v>
      </c>
      <c r="C14" s="23">
        <v>2.0989101597620158E-2</v>
      </c>
    </row>
    <row r="15" spans="1:3" x14ac:dyDescent="0.35">
      <c r="A15" s="28" t="s">
        <v>544</v>
      </c>
      <c r="B15" s="5">
        <v>798.0899999999998</v>
      </c>
      <c r="C15" s="23">
        <v>1.0256480773708946E-2</v>
      </c>
    </row>
    <row r="16" spans="1:3" x14ac:dyDescent="0.35">
      <c r="A16" s="28" t="s">
        <v>555</v>
      </c>
      <c r="B16" s="5">
        <v>13.69</v>
      </c>
      <c r="C16" s="23">
        <v>1.7593406983181783E-4</v>
      </c>
    </row>
    <row r="17" spans="1:3" x14ac:dyDescent="0.35">
      <c r="A17" s="28" t="s">
        <v>548</v>
      </c>
      <c r="B17" s="5">
        <v>-601.82999999999993</v>
      </c>
      <c r="C17" s="23">
        <v>-7.7342878923946619E-3</v>
      </c>
    </row>
    <row r="18" spans="1:3" x14ac:dyDescent="0.35">
      <c r="A18" s="28" t="s">
        <v>539</v>
      </c>
      <c r="B18" s="5">
        <v>-3539.1000000000008</v>
      </c>
      <c r="C18" s="23">
        <v>-4.5481977103125397E-2</v>
      </c>
    </row>
    <row r="19" spans="1:3" x14ac:dyDescent="0.35">
      <c r="A19" s="2" t="s">
        <v>545</v>
      </c>
      <c r="B19" s="5">
        <v>53290.139999999992</v>
      </c>
      <c r="C19" s="23">
        <v>0.68484669189973324</v>
      </c>
    </row>
    <row r="20" spans="1:3" x14ac:dyDescent="0.35">
      <c r="A20" s="28" t="s">
        <v>556</v>
      </c>
      <c r="B20" s="5">
        <v>2972.599999999999</v>
      </c>
      <c r="C20" s="23">
        <v>3.8201725053474182E-2</v>
      </c>
    </row>
    <row r="21" spans="1:3" x14ac:dyDescent="0.35">
      <c r="A21" s="28" t="s">
        <v>546</v>
      </c>
      <c r="B21" s="5">
        <v>4392.6500000000005</v>
      </c>
      <c r="C21" s="23">
        <v>5.6451190054545998E-2</v>
      </c>
    </row>
    <row r="22" spans="1:3" x14ac:dyDescent="0.35">
      <c r="A22" s="28" t="s">
        <v>549</v>
      </c>
      <c r="B22" s="5">
        <v>32255.48</v>
      </c>
      <c r="C22" s="23">
        <v>0.41452431488523039</v>
      </c>
    </row>
    <row r="23" spans="1:3" x14ac:dyDescent="0.35">
      <c r="A23" s="28" t="s">
        <v>552</v>
      </c>
      <c r="B23" s="5">
        <v>13669.409999999998</v>
      </c>
      <c r="C23" s="23">
        <v>0.17566946190648275</v>
      </c>
    </row>
    <row r="24" spans="1:3" x14ac:dyDescent="0.35">
      <c r="A24" s="2" t="s">
        <v>583</v>
      </c>
      <c r="B24" s="5">
        <v>77813.239999999991</v>
      </c>
      <c r="C24" s="23">
        <v>1</v>
      </c>
    </row>
  </sheetData>
  <conditionalFormatting pivot="1" sqref="B4:B24">
    <cfRule type="dataBar" priority="2">
      <dataBar>
        <cfvo type="min"/>
        <cfvo type="max"/>
        <color rgb="FF63C384"/>
      </dataBar>
      <extLst>
        <ext xmlns:x14="http://schemas.microsoft.com/office/spreadsheetml/2009/9/main" uri="{B025F937-C7B1-47D3-B67F-A62EFF666E3E}">
          <x14:id>{A81334B4-F7E9-4C09-82F1-6C2873D5C6E5}</x14:id>
        </ext>
      </extLst>
    </cfRule>
  </conditionalFormatting>
  <conditionalFormatting pivot="1" sqref="C5:C8 C10:C18 C20:C23">
    <cfRule type="top10" dxfId="11" priority="1" rank="3"/>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81334B4-F7E9-4C09-82F1-6C2873D5C6E5}">
            <x14:dataBar minLength="0" maxLength="100" gradient="0">
              <x14:cfvo type="autoMin"/>
              <x14:cfvo type="autoMax"/>
              <x14:negativeFillColor rgb="FFFF0000"/>
              <x14:axisColor rgb="FF000000"/>
            </x14:dataBar>
          </x14:cfRule>
          <xm:sqref>B4:B24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D2B6-4E13-4457-A0E8-D955FC36ADA4}">
  <sheetPr codeName="Sheet1"/>
  <dimension ref="A1:EZ20"/>
  <sheetViews>
    <sheetView topLeftCell="A11" zoomScale="130" zoomScaleNormal="130" workbookViewId="0">
      <selection activeCell="B3" sqref="B3"/>
    </sheetView>
  </sheetViews>
  <sheetFormatPr defaultRowHeight="14.5" x14ac:dyDescent="0.35"/>
  <cols>
    <col min="1" max="1" width="19.90625" bestFit="1" customWidth="1"/>
    <col min="2" max="2" width="18.36328125" bestFit="1" customWidth="1"/>
    <col min="3" max="8" width="8.81640625" bestFit="1" customWidth="1"/>
    <col min="9" max="9" width="7.81640625" bestFit="1" customWidth="1"/>
    <col min="10" max="12" width="8.81640625" bestFit="1" customWidth="1"/>
    <col min="13" max="26" width="7.81640625" bestFit="1" customWidth="1"/>
    <col min="27" max="27" width="8.81640625" bestFit="1" customWidth="1"/>
    <col min="28" max="34" width="7.81640625" bestFit="1" customWidth="1"/>
    <col min="35" max="35" width="9.81640625" bestFit="1" customWidth="1"/>
    <col min="36" max="38" width="7.81640625" bestFit="1" customWidth="1"/>
    <col min="39" max="39" width="6.81640625" bestFit="1" customWidth="1"/>
    <col min="40" max="41" width="7.81640625" bestFit="1" customWidth="1"/>
    <col min="42" max="42" width="9.81640625" bestFit="1" customWidth="1"/>
    <col min="43" max="43" width="7.81640625" bestFit="1" customWidth="1"/>
    <col min="44" max="44" width="8.81640625" bestFit="1" customWidth="1"/>
    <col min="45" max="46" width="7.81640625" bestFit="1" customWidth="1"/>
    <col min="47" max="47" width="8.81640625" bestFit="1" customWidth="1"/>
    <col min="48" max="50" width="7.81640625" bestFit="1" customWidth="1"/>
    <col min="51" max="51" width="6.81640625" bestFit="1" customWidth="1"/>
    <col min="52" max="54" width="7.81640625" bestFit="1" customWidth="1"/>
    <col min="55" max="56" width="8.81640625" bestFit="1" customWidth="1"/>
    <col min="57" max="57" width="9.81640625" bestFit="1" customWidth="1"/>
    <col min="58" max="59" width="7.81640625" bestFit="1" customWidth="1"/>
    <col min="60" max="60" width="6.81640625" bestFit="1" customWidth="1"/>
    <col min="61" max="63" width="7.81640625" bestFit="1" customWidth="1"/>
    <col min="64" max="64" width="6.81640625" bestFit="1" customWidth="1"/>
    <col min="65" max="67" width="7.81640625" bestFit="1" customWidth="1"/>
    <col min="68" max="69" width="9.81640625" bestFit="1" customWidth="1"/>
    <col min="70" max="71" width="8.81640625" bestFit="1" customWidth="1"/>
    <col min="72" max="74" width="7.81640625" bestFit="1" customWidth="1"/>
    <col min="75" max="75" width="8.81640625" bestFit="1" customWidth="1"/>
    <col min="76" max="77" width="7.81640625" bestFit="1" customWidth="1"/>
    <col min="78" max="78" width="8.81640625" bestFit="1" customWidth="1"/>
    <col min="79" max="79" width="9.81640625" bestFit="1" customWidth="1"/>
    <col min="80" max="80" width="8.81640625" bestFit="1" customWidth="1"/>
    <col min="81" max="84" width="7.81640625" bestFit="1" customWidth="1"/>
    <col min="85" max="85" width="6.81640625" bestFit="1" customWidth="1"/>
    <col min="86" max="86" width="7.81640625" bestFit="1" customWidth="1"/>
    <col min="87" max="87" width="9.81640625" bestFit="1" customWidth="1"/>
    <col min="88" max="90" width="7.81640625" bestFit="1" customWidth="1"/>
    <col min="91" max="91" width="8.81640625" bestFit="1" customWidth="1"/>
    <col min="92" max="92" width="7.81640625" bestFit="1" customWidth="1"/>
    <col min="93" max="94" width="9.81640625" bestFit="1" customWidth="1"/>
    <col min="95" max="102" width="7.81640625" bestFit="1" customWidth="1"/>
    <col min="103" max="103" width="6.81640625" bestFit="1" customWidth="1"/>
    <col min="104" max="104" width="7.81640625" bestFit="1" customWidth="1"/>
    <col min="105" max="105" width="9.81640625" bestFit="1" customWidth="1"/>
    <col min="106" max="108" width="7.81640625" bestFit="1" customWidth="1"/>
    <col min="109" max="109" width="9.81640625" bestFit="1" customWidth="1"/>
    <col min="110" max="110" width="8.81640625" bestFit="1" customWidth="1"/>
    <col min="111" max="111" width="6.81640625" bestFit="1" customWidth="1"/>
    <col min="112" max="116" width="7.81640625" bestFit="1" customWidth="1"/>
    <col min="117" max="117" width="6.81640625" bestFit="1" customWidth="1"/>
    <col min="118" max="118" width="8.81640625" bestFit="1" customWidth="1"/>
    <col min="119" max="120" width="7.81640625" bestFit="1" customWidth="1"/>
    <col min="121" max="122" width="8.81640625" bestFit="1" customWidth="1"/>
    <col min="123" max="127" width="7.81640625" bestFit="1" customWidth="1"/>
    <col min="128" max="128" width="8.81640625" bestFit="1" customWidth="1"/>
    <col min="129" max="129" width="7.81640625" bestFit="1" customWidth="1"/>
    <col min="130" max="131" width="9.81640625" bestFit="1" customWidth="1"/>
    <col min="132" max="132" width="7.81640625" bestFit="1" customWidth="1"/>
    <col min="133" max="133" width="9.81640625" bestFit="1" customWidth="1"/>
    <col min="134" max="135" width="7.81640625" bestFit="1" customWidth="1"/>
    <col min="136" max="136" width="9.81640625" bestFit="1" customWidth="1"/>
    <col min="137" max="137" width="7.81640625" bestFit="1" customWidth="1"/>
    <col min="138" max="138" width="9.81640625" bestFit="1" customWidth="1"/>
    <col min="139" max="139" width="8.81640625" bestFit="1" customWidth="1"/>
    <col min="140" max="149" width="7.81640625" bestFit="1" customWidth="1"/>
    <col min="150" max="151" width="9.81640625" bestFit="1" customWidth="1"/>
    <col min="152" max="152" width="7.81640625" bestFit="1" customWidth="1"/>
    <col min="153" max="153" width="8.81640625" bestFit="1" customWidth="1"/>
    <col min="154" max="159" width="7.81640625" bestFit="1" customWidth="1"/>
    <col min="160" max="160" width="9.81640625" bestFit="1" customWidth="1"/>
    <col min="161" max="165" width="7.81640625" bestFit="1" customWidth="1"/>
    <col min="166" max="174" width="6.81640625" bestFit="1" customWidth="1"/>
    <col min="175" max="175" width="7.81640625" bestFit="1" customWidth="1"/>
    <col min="176" max="177" width="6.81640625" bestFit="1" customWidth="1"/>
    <col min="178" max="178" width="8.81640625" bestFit="1" customWidth="1"/>
    <col min="179" max="183" width="6.81640625" bestFit="1" customWidth="1"/>
    <col min="184" max="184" width="8.81640625" bestFit="1" customWidth="1"/>
    <col min="185" max="189" width="6.81640625" bestFit="1" customWidth="1"/>
    <col min="190" max="191" width="5.81640625" bestFit="1" customWidth="1"/>
    <col min="192" max="199" width="6.81640625" bestFit="1" customWidth="1"/>
    <col min="200" max="200" width="7.81640625" bestFit="1" customWidth="1"/>
    <col min="201" max="201" width="5.81640625" bestFit="1" customWidth="1"/>
    <col min="202" max="204" width="6.81640625" bestFit="1" customWidth="1"/>
    <col min="205" max="205" width="5.81640625" bestFit="1" customWidth="1"/>
    <col min="206" max="211" width="6.81640625" bestFit="1" customWidth="1"/>
    <col min="212" max="212" width="5.81640625" bestFit="1" customWidth="1"/>
    <col min="213" max="216" width="6.81640625" bestFit="1" customWidth="1"/>
    <col min="217" max="217" width="8.81640625" bestFit="1" customWidth="1"/>
    <col min="218" max="219" width="6.81640625" bestFit="1" customWidth="1"/>
    <col min="220" max="220" width="5.81640625" bestFit="1" customWidth="1"/>
    <col min="221" max="222" width="6.81640625" bestFit="1" customWidth="1"/>
    <col min="223" max="223" width="7.81640625" bestFit="1" customWidth="1"/>
    <col min="224" max="226" width="6.81640625" bestFit="1" customWidth="1"/>
    <col min="227" max="227" width="3.81640625" bestFit="1" customWidth="1"/>
    <col min="228" max="237" width="6.81640625" bestFit="1" customWidth="1"/>
    <col min="238" max="238" width="7.81640625" bestFit="1" customWidth="1"/>
    <col min="239" max="247" width="6.81640625" bestFit="1" customWidth="1"/>
    <col min="248" max="248" width="3.81640625" bestFit="1" customWidth="1"/>
    <col min="249" max="254" width="6.81640625" bestFit="1" customWidth="1"/>
    <col min="255" max="255" width="5.81640625" bestFit="1" customWidth="1"/>
    <col min="256" max="266" width="6.81640625" bestFit="1" customWidth="1"/>
    <col min="267" max="267" width="5.81640625" bestFit="1" customWidth="1"/>
    <col min="268" max="278" width="6.81640625" bestFit="1" customWidth="1"/>
    <col min="279" max="279" width="8.81640625" bestFit="1" customWidth="1"/>
    <col min="280" max="282" width="6.81640625" bestFit="1" customWidth="1"/>
    <col min="283" max="283" width="5.81640625" bestFit="1" customWidth="1"/>
    <col min="284" max="315" width="6.81640625" bestFit="1" customWidth="1"/>
    <col min="316" max="316" width="5.81640625" bestFit="1" customWidth="1"/>
    <col min="317" max="318" width="6.81640625" bestFit="1" customWidth="1"/>
    <col min="319" max="319" width="5.81640625" bestFit="1" customWidth="1"/>
    <col min="320" max="320" width="7.81640625" bestFit="1" customWidth="1"/>
    <col min="321" max="330" width="6.81640625" bestFit="1" customWidth="1"/>
    <col min="331" max="331" width="5.81640625" bestFit="1" customWidth="1"/>
    <col min="332" max="346" width="6.81640625" bestFit="1" customWidth="1"/>
    <col min="347" max="347" width="7.81640625" bestFit="1" customWidth="1"/>
    <col min="348" max="348" width="5.81640625" bestFit="1" customWidth="1"/>
    <col min="349" max="378" width="6.81640625" bestFit="1" customWidth="1"/>
    <col min="379" max="379" width="5.81640625" bestFit="1" customWidth="1"/>
    <col min="380" max="395" width="6.81640625" bestFit="1" customWidth="1"/>
    <col min="396" max="396" width="5.81640625" bestFit="1" customWidth="1"/>
    <col min="397" max="411" width="6.81640625" bestFit="1" customWidth="1"/>
    <col min="412" max="417" width="5.81640625" bestFit="1" customWidth="1"/>
    <col min="418" max="418" width="4.81640625" bestFit="1" customWidth="1"/>
    <col min="419" max="451" width="5.81640625" bestFit="1" customWidth="1"/>
    <col min="452" max="452" width="4.81640625" bestFit="1" customWidth="1"/>
    <col min="453" max="453" width="5.81640625" bestFit="1" customWidth="1"/>
    <col min="454" max="454" width="4.81640625" bestFit="1" customWidth="1"/>
    <col min="455" max="455" width="6.81640625" bestFit="1" customWidth="1"/>
    <col min="456" max="456" width="7.81640625" bestFit="1" customWidth="1"/>
    <col min="457" max="471" width="5.81640625" bestFit="1" customWidth="1"/>
    <col min="472" max="473" width="4.81640625" bestFit="1" customWidth="1"/>
    <col min="474" max="482" width="5.81640625" bestFit="1" customWidth="1"/>
    <col min="483" max="483" width="4.81640625" bestFit="1" customWidth="1"/>
    <col min="484" max="486" width="5.81640625" bestFit="1" customWidth="1"/>
    <col min="487" max="487" width="4.81640625" bestFit="1" customWidth="1"/>
    <col min="488" max="489" width="5.81640625" bestFit="1" customWidth="1"/>
    <col min="490" max="490" width="4.81640625" bestFit="1" customWidth="1"/>
    <col min="491" max="492" width="5.81640625" bestFit="1" customWidth="1"/>
    <col min="493" max="493" width="2.81640625" bestFit="1" customWidth="1"/>
    <col min="494" max="498" width="5.81640625" bestFit="1" customWidth="1"/>
    <col min="499" max="499" width="3.81640625" bestFit="1" customWidth="1"/>
    <col min="500" max="501" width="4.81640625" bestFit="1" customWidth="1"/>
    <col min="502" max="502" width="12.08984375" bestFit="1" customWidth="1"/>
    <col min="503" max="504" width="6.81640625" bestFit="1" customWidth="1"/>
    <col min="505" max="505" width="5.81640625" bestFit="1" customWidth="1"/>
    <col min="506" max="506" width="4.81640625" bestFit="1" customWidth="1"/>
    <col min="507" max="509" width="5.81640625" bestFit="1" customWidth="1"/>
    <col min="510" max="510" width="4.81640625" bestFit="1" customWidth="1"/>
    <col min="511" max="511" width="7.81640625" bestFit="1" customWidth="1"/>
    <col min="512" max="513" width="5.81640625" bestFit="1" customWidth="1"/>
    <col min="514" max="514" width="9.81640625" bestFit="1" customWidth="1"/>
    <col min="515" max="515" width="12.08984375" bestFit="1" customWidth="1"/>
    <col min="516" max="516" width="5.81640625" bestFit="1" customWidth="1"/>
    <col min="517" max="517" width="9.81640625" bestFit="1" customWidth="1"/>
    <col min="518" max="518" width="10.81640625" bestFit="1" customWidth="1"/>
    <col min="519" max="519" width="12.08984375" bestFit="1" customWidth="1"/>
    <col min="520" max="520" width="8.6328125" bestFit="1" customWidth="1"/>
    <col min="521" max="521" width="11.08984375" bestFit="1" customWidth="1"/>
    <col min="522" max="522" width="8.6328125" bestFit="1" customWidth="1"/>
    <col min="523" max="523" width="11.08984375" bestFit="1" customWidth="1"/>
    <col min="524" max="524" width="8.6328125" bestFit="1" customWidth="1"/>
    <col min="525" max="525" width="11.08984375" bestFit="1" customWidth="1"/>
    <col min="526" max="526" width="9.6328125" bestFit="1" customWidth="1"/>
    <col min="527" max="527" width="12.08984375" bestFit="1" customWidth="1"/>
    <col min="528" max="528" width="7.6328125" bestFit="1" customWidth="1"/>
    <col min="529" max="529" width="10.08984375" bestFit="1" customWidth="1"/>
    <col min="530" max="530" width="8.6328125" bestFit="1" customWidth="1"/>
    <col min="531" max="531" width="11.08984375" bestFit="1" customWidth="1"/>
    <col min="532" max="532" width="8.6328125" bestFit="1" customWidth="1"/>
    <col min="533" max="533" width="11.08984375" bestFit="1" customWidth="1"/>
    <col min="534" max="534" width="8.6328125" bestFit="1" customWidth="1"/>
    <col min="535" max="535" width="11.08984375" bestFit="1" customWidth="1"/>
    <col min="536" max="536" width="8.6328125" bestFit="1" customWidth="1"/>
    <col min="537" max="537" width="11.08984375" bestFit="1" customWidth="1"/>
    <col min="538" max="538" width="8.6328125" bestFit="1" customWidth="1"/>
    <col min="539" max="539" width="11.08984375" bestFit="1" customWidth="1"/>
    <col min="540" max="540" width="8.6328125" bestFit="1" customWidth="1"/>
    <col min="541" max="541" width="11.08984375" bestFit="1" customWidth="1"/>
    <col min="542" max="542" width="8.6328125" bestFit="1" customWidth="1"/>
    <col min="543" max="543" width="11.08984375" bestFit="1" customWidth="1"/>
    <col min="544" max="544" width="8.6328125" bestFit="1" customWidth="1"/>
    <col min="545" max="545" width="11.08984375" bestFit="1" customWidth="1"/>
    <col min="546" max="546" width="8.6328125" bestFit="1" customWidth="1"/>
    <col min="547" max="547" width="11.08984375" bestFit="1" customWidth="1"/>
    <col min="548" max="548" width="8.6328125" bestFit="1" customWidth="1"/>
    <col min="549" max="549" width="11.08984375" bestFit="1" customWidth="1"/>
    <col min="550" max="550" width="8.6328125" bestFit="1" customWidth="1"/>
    <col min="551" max="551" width="11.08984375" bestFit="1" customWidth="1"/>
    <col min="552" max="552" width="8.6328125" bestFit="1" customWidth="1"/>
    <col min="553" max="553" width="11.08984375" bestFit="1" customWidth="1"/>
    <col min="554" max="554" width="8.6328125" bestFit="1" customWidth="1"/>
    <col min="555" max="555" width="11.08984375" bestFit="1" customWidth="1"/>
    <col min="556" max="556" width="7.6328125" bestFit="1" customWidth="1"/>
    <col min="557" max="557" width="10.08984375" bestFit="1" customWidth="1"/>
    <col min="558" max="558" width="8.6328125" bestFit="1" customWidth="1"/>
    <col min="559" max="559" width="11.08984375" bestFit="1" customWidth="1"/>
    <col min="560" max="560" width="8.6328125" bestFit="1" customWidth="1"/>
    <col min="561" max="561" width="11.08984375" bestFit="1" customWidth="1"/>
    <col min="562" max="562" width="8.6328125" bestFit="1" customWidth="1"/>
    <col min="563" max="563" width="11.08984375" bestFit="1" customWidth="1"/>
    <col min="564" max="564" width="8.6328125" bestFit="1" customWidth="1"/>
    <col min="565" max="565" width="11.08984375" bestFit="1" customWidth="1"/>
    <col min="566" max="566" width="8.6328125" bestFit="1" customWidth="1"/>
    <col min="567" max="567" width="11.08984375" bestFit="1" customWidth="1"/>
    <col min="568" max="568" width="8.6328125" bestFit="1" customWidth="1"/>
    <col min="569" max="569" width="11.08984375" bestFit="1" customWidth="1"/>
    <col min="570" max="570" width="8.6328125" bestFit="1" customWidth="1"/>
    <col min="571" max="571" width="11.08984375" bestFit="1" customWidth="1"/>
    <col min="572" max="572" width="8.6328125" bestFit="1" customWidth="1"/>
    <col min="573" max="573" width="11.08984375" bestFit="1" customWidth="1"/>
    <col min="574" max="574" width="8.6328125" bestFit="1" customWidth="1"/>
    <col min="575" max="575" width="11.08984375" bestFit="1" customWidth="1"/>
    <col min="576" max="576" width="8.6328125" bestFit="1" customWidth="1"/>
    <col min="577" max="577" width="11.08984375" bestFit="1" customWidth="1"/>
    <col min="578" max="578" width="8.6328125" bestFit="1" customWidth="1"/>
    <col min="579" max="579" width="11.08984375" bestFit="1" customWidth="1"/>
    <col min="580" max="580" width="8.6328125" bestFit="1" customWidth="1"/>
    <col min="581" max="581" width="11.08984375" bestFit="1" customWidth="1"/>
    <col min="582" max="582" width="8.6328125" bestFit="1" customWidth="1"/>
    <col min="583" max="583" width="11.08984375" bestFit="1" customWidth="1"/>
    <col min="584" max="584" width="8.6328125" bestFit="1" customWidth="1"/>
    <col min="585" max="585" width="11.08984375" bestFit="1" customWidth="1"/>
    <col min="586" max="586" width="8.6328125" bestFit="1" customWidth="1"/>
    <col min="587" max="587" width="11.08984375" bestFit="1" customWidth="1"/>
    <col min="588" max="588" width="9.6328125" bestFit="1" customWidth="1"/>
    <col min="589" max="589" width="12.08984375" bestFit="1" customWidth="1"/>
    <col min="590" max="590" width="8.6328125" bestFit="1" customWidth="1"/>
    <col min="591" max="591" width="11.08984375" bestFit="1" customWidth="1"/>
    <col min="592" max="592" width="8.6328125" bestFit="1" customWidth="1"/>
    <col min="593" max="593" width="11.08984375" bestFit="1" customWidth="1"/>
    <col min="594" max="594" width="8.6328125" bestFit="1" customWidth="1"/>
    <col min="595" max="595" width="11.08984375" bestFit="1" customWidth="1"/>
    <col min="596" max="596" width="8.6328125" bestFit="1" customWidth="1"/>
    <col min="597" max="597" width="11.08984375" bestFit="1" customWidth="1"/>
    <col min="598" max="598" width="8.6328125" bestFit="1" customWidth="1"/>
    <col min="599" max="599" width="11.08984375" bestFit="1" customWidth="1"/>
    <col min="600" max="600" width="8.6328125" bestFit="1" customWidth="1"/>
    <col min="601" max="601" width="11.08984375" bestFit="1" customWidth="1"/>
    <col min="602" max="602" width="8.6328125" bestFit="1" customWidth="1"/>
    <col min="603" max="603" width="11.08984375" bestFit="1" customWidth="1"/>
    <col min="604" max="604" width="8.6328125" bestFit="1" customWidth="1"/>
    <col min="605" max="605" width="11.08984375" bestFit="1" customWidth="1"/>
    <col min="606" max="606" width="8.6328125" bestFit="1" customWidth="1"/>
    <col min="607" max="607" width="11.08984375" bestFit="1" customWidth="1"/>
    <col min="608" max="608" width="8.6328125" bestFit="1" customWidth="1"/>
    <col min="609" max="609" width="11.08984375" bestFit="1" customWidth="1"/>
    <col min="610" max="610" width="8.6328125" bestFit="1" customWidth="1"/>
    <col min="611" max="611" width="11.08984375" bestFit="1" customWidth="1"/>
    <col min="612" max="612" width="8.6328125" bestFit="1" customWidth="1"/>
    <col min="613" max="613" width="11.08984375" bestFit="1" customWidth="1"/>
    <col min="614" max="614" width="8.6328125" bestFit="1" customWidth="1"/>
    <col min="615" max="615" width="11.08984375" bestFit="1" customWidth="1"/>
    <col min="616" max="616" width="8.6328125" bestFit="1" customWidth="1"/>
    <col min="617" max="617" width="11.08984375" bestFit="1" customWidth="1"/>
    <col min="618" max="618" width="8.6328125" bestFit="1" customWidth="1"/>
    <col min="619" max="619" width="11.08984375" bestFit="1" customWidth="1"/>
    <col min="620" max="620" width="8.6328125" bestFit="1" customWidth="1"/>
    <col min="621" max="621" width="11.08984375" bestFit="1" customWidth="1"/>
    <col min="622" max="622" width="8.6328125" bestFit="1" customWidth="1"/>
    <col min="623" max="623" width="11.08984375" bestFit="1" customWidth="1"/>
    <col min="624" max="624" width="8.6328125" bestFit="1" customWidth="1"/>
    <col min="625" max="625" width="11.08984375" bestFit="1" customWidth="1"/>
    <col min="626" max="626" width="8.6328125" bestFit="1" customWidth="1"/>
    <col min="627" max="627" width="11.08984375" bestFit="1" customWidth="1"/>
    <col min="628" max="628" width="8.6328125" bestFit="1" customWidth="1"/>
    <col min="629" max="629" width="11.08984375" bestFit="1" customWidth="1"/>
    <col min="630" max="630" width="8.6328125" bestFit="1" customWidth="1"/>
    <col min="631" max="631" width="11.08984375" bestFit="1" customWidth="1"/>
    <col min="632" max="632" width="8.6328125" bestFit="1" customWidth="1"/>
    <col min="633" max="633" width="11.08984375" bestFit="1" customWidth="1"/>
    <col min="634" max="634" width="8.6328125" bestFit="1" customWidth="1"/>
    <col min="635" max="635" width="11.08984375" bestFit="1" customWidth="1"/>
    <col min="636" max="636" width="8.6328125" bestFit="1" customWidth="1"/>
    <col min="637" max="637" width="11.08984375" bestFit="1" customWidth="1"/>
    <col min="638" max="638" width="7.6328125" bestFit="1" customWidth="1"/>
    <col min="639" max="639" width="10.08984375" bestFit="1" customWidth="1"/>
    <col min="640" max="640" width="8.6328125" bestFit="1" customWidth="1"/>
    <col min="641" max="641" width="11.08984375" bestFit="1" customWidth="1"/>
    <col min="642" max="642" width="8.6328125" bestFit="1" customWidth="1"/>
    <col min="643" max="643" width="11.08984375" bestFit="1" customWidth="1"/>
    <col min="644" max="644" width="8.6328125" bestFit="1" customWidth="1"/>
    <col min="645" max="645" width="11.08984375" bestFit="1" customWidth="1"/>
    <col min="646" max="646" width="8.6328125" bestFit="1" customWidth="1"/>
    <col min="647" max="647" width="11.08984375" bestFit="1" customWidth="1"/>
    <col min="648" max="648" width="8.6328125" bestFit="1" customWidth="1"/>
    <col min="649" max="649" width="11.08984375" bestFit="1" customWidth="1"/>
    <col min="650" max="650" width="7.6328125" bestFit="1" customWidth="1"/>
    <col min="651" max="651" width="10.08984375" bestFit="1" customWidth="1"/>
    <col min="652" max="652" width="7.6328125" bestFit="1" customWidth="1"/>
    <col min="653" max="653" width="10.08984375" bestFit="1" customWidth="1"/>
    <col min="654" max="654" width="7.6328125" bestFit="1" customWidth="1"/>
    <col min="655" max="655" width="10.08984375" bestFit="1" customWidth="1"/>
    <col min="656" max="656" width="7.6328125" bestFit="1" customWidth="1"/>
    <col min="657" max="657" width="10.08984375" bestFit="1" customWidth="1"/>
    <col min="658" max="658" width="7.6328125" bestFit="1" customWidth="1"/>
    <col min="659" max="659" width="10.08984375" bestFit="1" customWidth="1"/>
    <col min="660" max="660" width="7.6328125" bestFit="1" customWidth="1"/>
    <col min="661" max="661" width="10.08984375" bestFit="1" customWidth="1"/>
    <col min="662" max="662" width="7.6328125" bestFit="1" customWidth="1"/>
    <col min="663" max="663" width="10.08984375" bestFit="1" customWidth="1"/>
    <col min="664" max="664" width="7.6328125" bestFit="1" customWidth="1"/>
    <col min="665" max="665" width="10.08984375" bestFit="1" customWidth="1"/>
    <col min="666" max="666" width="7.6328125" bestFit="1" customWidth="1"/>
    <col min="667" max="667" width="10.08984375" bestFit="1" customWidth="1"/>
    <col min="668" max="668" width="7.6328125" bestFit="1" customWidth="1"/>
    <col min="669" max="669" width="10.08984375" bestFit="1" customWidth="1"/>
    <col min="670" max="670" width="7.6328125" bestFit="1" customWidth="1"/>
    <col min="671" max="671" width="10.08984375" bestFit="1" customWidth="1"/>
    <col min="672" max="672" width="7.6328125" bestFit="1" customWidth="1"/>
    <col min="673" max="673" width="10.08984375" bestFit="1" customWidth="1"/>
    <col min="674" max="674" width="7.6328125" bestFit="1" customWidth="1"/>
    <col min="675" max="675" width="10.08984375" bestFit="1" customWidth="1"/>
    <col min="676" max="676" width="7.6328125" bestFit="1" customWidth="1"/>
    <col min="677" max="677" width="10.08984375" bestFit="1" customWidth="1"/>
    <col min="678" max="678" width="7.6328125" bestFit="1" customWidth="1"/>
    <col min="679" max="679" width="10.08984375" bestFit="1" customWidth="1"/>
    <col min="680" max="680" width="7.6328125" bestFit="1" customWidth="1"/>
    <col min="681" max="681" width="10.08984375" bestFit="1" customWidth="1"/>
    <col min="682" max="682" width="7.6328125" bestFit="1" customWidth="1"/>
    <col min="683" max="683" width="10.08984375" bestFit="1" customWidth="1"/>
    <col min="684" max="684" width="7.6328125" bestFit="1" customWidth="1"/>
    <col min="685" max="685" width="10.08984375" bestFit="1" customWidth="1"/>
    <col min="686" max="686" width="7.6328125" bestFit="1" customWidth="1"/>
    <col min="687" max="687" width="10.08984375" bestFit="1" customWidth="1"/>
    <col min="688" max="688" width="7.6328125" bestFit="1" customWidth="1"/>
    <col min="689" max="689" width="10.08984375" bestFit="1" customWidth="1"/>
    <col min="690" max="690" width="7.6328125" bestFit="1" customWidth="1"/>
    <col min="691" max="691" width="10.08984375" bestFit="1" customWidth="1"/>
    <col min="692" max="692" width="7.6328125" bestFit="1" customWidth="1"/>
    <col min="693" max="693" width="10.08984375" bestFit="1" customWidth="1"/>
    <col min="694" max="694" width="6.6328125" bestFit="1" customWidth="1"/>
    <col min="695" max="695" width="9.08984375" bestFit="1" customWidth="1"/>
    <col min="696" max="696" width="6.6328125" bestFit="1" customWidth="1"/>
    <col min="697" max="697" width="9.08984375" bestFit="1" customWidth="1"/>
    <col min="698" max="698" width="11.81640625" bestFit="1" customWidth="1"/>
    <col min="699" max="699" width="10.6328125" bestFit="1" customWidth="1"/>
    <col min="700" max="700" width="13.1796875" bestFit="1" customWidth="1"/>
    <col min="701" max="701" width="10.6328125" bestFit="1" customWidth="1"/>
    <col min="702" max="702" width="13.1796875" bestFit="1" customWidth="1"/>
    <col min="703" max="703" width="10.6328125" bestFit="1" customWidth="1"/>
    <col min="704" max="704" width="13.1796875" bestFit="1" customWidth="1"/>
    <col min="705" max="705" width="10.6328125" bestFit="1" customWidth="1"/>
    <col min="706" max="706" width="13.1796875" bestFit="1" customWidth="1"/>
    <col min="707" max="707" width="9.6328125" bestFit="1" customWidth="1"/>
    <col min="708" max="708" width="12.08984375" bestFit="1" customWidth="1"/>
    <col min="709" max="709" width="9.6328125" bestFit="1" customWidth="1"/>
    <col min="710" max="710" width="12.08984375" bestFit="1" customWidth="1"/>
    <col min="711" max="711" width="9.6328125" bestFit="1" customWidth="1"/>
    <col min="712" max="712" width="12.08984375" bestFit="1" customWidth="1"/>
    <col min="713" max="713" width="9.6328125" bestFit="1" customWidth="1"/>
    <col min="714" max="714" width="12.08984375" bestFit="1" customWidth="1"/>
    <col min="715" max="715" width="9.6328125" bestFit="1" customWidth="1"/>
    <col min="716" max="716" width="12.08984375" bestFit="1" customWidth="1"/>
    <col min="717" max="717" width="9.6328125" bestFit="1" customWidth="1"/>
    <col min="718" max="718" width="12.08984375" bestFit="1" customWidth="1"/>
    <col min="719" max="719" width="9.6328125" bestFit="1" customWidth="1"/>
    <col min="720" max="720" width="12.08984375" bestFit="1" customWidth="1"/>
    <col min="721" max="721" width="9.6328125" bestFit="1" customWidth="1"/>
    <col min="722" max="722" width="12.08984375" bestFit="1" customWidth="1"/>
    <col min="723" max="723" width="9.6328125" bestFit="1" customWidth="1"/>
    <col min="724" max="724" width="12.08984375" bestFit="1" customWidth="1"/>
    <col min="725" max="725" width="9.6328125" bestFit="1" customWidth="1"/>
    <col min="726" max="726" width="12.08984375" bestFit="1" customWidth="1"/>
    <col min="727" max="727" width="9.6328125" bestFit="1" customWidth="1"/>
    <col min="728" max="728" width="12.08984375" bestFit="1" customWidth="1"/>
    <col min="729" max="729" width="9.6328125" bestFit="1" customWidth="1"/>
    <col min="730" max="730" width="12.08984375" bestFit="1" customWidth="1"/>
    <col min="731" max="731" width="10.6328125" bestFit="1" customWidth="1"/>
    <col min="732" max="732" width="13.1796875" bestFit="1" customWidth="1"/>
    <col min="733" max="733" width="11.6328125" bestFit="1" customWidth="1"/>
    <col min="734" max="734" width="14.1796875" bestFit="1" customWidth="1"/>
    <col min="735" max="735" width="8.6328125" bestFit="1" customWidth="1"/>
    <col min="736" max="736" width="11.08984375" bestFit="1" customWidth="1"/>
    <col min="737" max="737" width="9.6328125" bestFit="1" customWidth="1"/>
    <col min="738" max="738" width="12.08984375" bestFit="1" customWidth="1"/>
    <col min="739" max="739" width="9.6328125" bestFit="1" customWidth="1"/>
    <col min="740" max="740" width="12.08984375" bestFit="1" customWidth="1"/>
    <col min="741" max="741" width="11.6328125" bestFit="1" customWidth="1"/>
    <col min="742" max="742" width="14.1796875" bestFit="1" customWidth="1"/>
    <col min="743" max="743" width="9.6328125" bestFit="1" customWidth="1"/>
    <col min="744" max="744" width="12.08984375" bestFit="1" customWidth="1"/>
    <col min="745" max="745" width="9.6328125" bestFit="1" customWidth="1"/>
    <col min="746" max="746" width="12.08984375" bestFit="1" customWidth="1"/>
    <col min="747" max="747" width="9.6328125" bestFit="1" customWidth="1"/>
    <col min="748" max="748" width="12.08984375" bestFit="1" customWidth="1"/>
    <col min="749" max="749" width="9.6328125" bestFit="1" customWidth="1"/>
    <col min="750" max="750" width="12.08984375" bestFit="1" customWidth="1"/>
    <col min="751" max="751" width="11.6328125" bestFit="1" customWidth="1"/>
    <col min="752" max="752" width="14.1796875" bestFit="1" customWidth="1"/>
    <col min="753" max="753" width="9.6328125" bestFit="1" customWidth="1"/>
    <col min="754" max="754" width="12.08984375" bestFit="1" customWidth="1"/>
    <col min="755" max="755" width="9.6328125" bestFit="1" customWidth="1"/>
    <col min="756" max="756" width="12.08984375" bestFit="1" customWidth="1"/>
    <col min="757" max="757" width="9.6328125" bestFit="1" customWidth="1"/>
    <col min="758" max="758" width="12.08984375" bestFit="1" customWidth="1"/>
    <col min="759" max="759" width="8.6328125" bestFit="1" customWidth="1"/>
    <col min="760" max="760" width="11.08984375" bestFit="1" customWidth="1"/>
    <col min="761" max="761" width="9.6328125" bestFit="1" customWidth="1"/>
    <col min="762" max="762" width="12.08984375" bestFit="1" customWidth="1"/>
    <col min="763" max="763" width="9.6328125" bestFit="1" customWidth="1"/>
    <col min="764" max="764" width="12.08984375" bestFit="1" customWidth="1"/>
    <col min="765" max="765" width="11.6328125" bestFit="1" customWidth="1"/>
    <col min="766" max="766" width="14.1796875" bestFit="1" customWidth="1"/>
    <col min="767" max="767" width="9.6328125" bestFit="1" customWidth="1"/>
    <col min="768" max="768" width="12.08984375" bestFit="1" customWidth="1"/>
    <col min="769" max="769" width="9.6328125" bestFit="1" customWidth="1"/>
    <col min="770" max="770" width="12.08984375" bestFit="1" customWidth="1"/>
    <col min="771" max="771" width="10.6328125" bestFit="1" customWidth="1"/>
    <col min="772" max="772" width="13.1796875" bestFit="1" customWidth="1"/>
    <col min="773" max="773" width="9.6328125" bestFit="1" customWidth="1"/>
    <col min="774" max="774" width="12.08984375" bestFit="1" customWidth="1"/>
    <col min="775" max="775" width="10.6328125" bestFit="1" customWidth="1"/>
    <col min="776" max="776" width="13.1796875" bestFit="1" customWidth="1"/>
    <col min="777" max="777" width="10.6328125" bestFit="1" customWidth="1"/>
    <col min="778" max="778" width="13.1796875" bestFit="1" customWidth="1"/>
    <col min="779" max="779" width="9.6328125" bestFit="1" customWidth="1"/>
    <col min="780" max="780" width="12.08984375" bestFit="1" customWidth="1"/>
    <col min="781" max="781" width="10.6328125" bestFit="1" customWidth="1"/>
    <col min="782" max="782" width="13.1796875" bestFit="1" customWidth="1"/>
    <col min="783" max="783" width="9.6328125" bestFit="1" customWidth="1"/>
    <col min="784" max="784" width="12.08984375" bestFit="1" customWidth="1"/>
    <col min="785" max="785" width="9.6328125" bestFit="1" customWidth="1"/>
    <col min="786" max="786" width="12.08984375" bestFit="1" customWidth="1"/>
    <col min="787" max="787" width="11.6328125" bestFit="1" customWidth="1"/>
    <col min="788" max="788" width="14.1796875" bestFit="1" customWidth="1"/>
    <col min="789" max="789" width="9.6328125" bestFit="1" customWidth="1"/>
    <col min="790" max="790" width="12.08984375" bestFit="1" customWidth="1"/>
    <col min="791" max="791" width="9.6328125" bestFit="1" customWidth="1"/>
    <col min="792" max="792" width="12.08984375" bestFit="1" customWidth="1"/>
    <col min="793" max="793" width="11.6328125" bestFit="1" customWidth="1"/>
    <col min="794" max="794" width="14.1796875" bestFit="1" customWidth="1"/>
    <col min="795" max="795" width="10.6328125" bestFit="1" customWidth="1"/>
    <col min="796" max="796" width="13.1796875" bestFit="1" customWidth="1"/>
    <col min="797" max="797" width="9.6328125" bestFit="1" customWidth="1"/>
    <col min="798" max="798" width="12.08984375" bestFit="1" customWidth="1"/>
    <col min="799" max="799" width="9.6328125" bestFit="1" customWidth="1"/>
    <col min="800" max="800" width="12.08984375" bestFit="1" customWidth="1"/>
    <col min="801" max="801" width="9.6328125" bestFit="1" customWidth="1"/>
    <col min="802" max="802" width="12.08984375" bestFit="1" customWidth="1"/>
    <col min="803" max="803" width="11.6328125" bestFit="1" customWidth="1"/>
    <col min="804" max="804" width="14.1796875" bestFit="1" customWidth="1"/>
    <col min="805" max="805" width="9.6328125" bestFit="1" customWidth="1"/>
    <col min="806" max="806" width="12.08984375" bestFit="1" customWidth="1"/>
    <col min="807" max="807" width="9.6328125" bestFit="1" customWidth="1"/>
    <col min="808" max="808" width="12.08984375" bestFit="1" customWidth="1"/>
    <col min="809" max="809" width="8.6328125" bestFit="1" customWidth="1"/>
    <col min="810" max="810" width="11.08984375" bestFit="1" customWidth="1"/>
    <col min="811" max="811" width="8.6328125" bestFit="1" customWidth="1"/>
    <col min="812" max="812" width="11.08984375" bestFit="1" customWidth="1"/>
    <col min="813" max="813" width="9.6328125" bestFit="1" customWidth="1"/>
    <col min="814" max="814" width="12.08984375" bestFit="1" customWidth="1"/>
    <col min="815" max="815" width="8.6328125" bestFit="1" customWidth="1"/>
    <col min="816" max="816" width="11.08984375" bestFit="1" customWidth="1"/>
    <col min="817" max="817" width="10.6328125" bestFit="1" customWidth="1"/>
    <col min="818" max="818" width="13.1796875" bestFit="1" customWidth="1"/>
    <col min="819" max="819" width="8.6328125" bestFit="1" customWidth="1"/>
    <col min="820" max="820" width="11.08984375" bestFit="1" customWidth="1"/>
    <col min="821" max="821" width="8.6328125" bestFit="1" customWidth="1"/>
    <col min="822" max="822" width="11.08984375" bestFit="1" customWidth="1"/>
    <col min="823" max="823" width="8.6328125" bestFit="1" customWidth="1"/>
    <col min="824" max="824" width="11.08984375" bestFit="1" customWidth="1"/>
    <col min="825" max="825" width="7.6328125" bestFit="1" customWidth="1"/>
    <col min="826" max="826" width="10.08984375" bestFit="1" customWidth="1"/>
    <col min="827" max="827" width="8.6328125" bestFit="1" customWidth="1"/>
    <col min="828" max="828" width="11.08984375" bestFit="1" customWidth="1"/>
    <col min="829" max="829" width="8.6328125" bestFit="1" customWidth="1"/>
    <col min="830" max="830" width="11.08984375" bestFit="1" customWidth="1"/>
    <col min="831" max="831" width="8.6328125" bestFit="1" customWidth="1"/>
    <col min="832" max="832" width="11.08984375" bestFit="1" customWidth="1"/>
    <col min="833" max="833" width="8.6328125" bestFit="1" customWidth="1"/>
    <col min="834" max="834" width="11.08984375" bestFit="1" customWidth="1"/>
    <col min="835" max="835" width="8.6328125" bestFit="1" customWidth="1"/>
    <col min="836" max="836" width="11.08984375" bestFit="1" customWidth="1"/>
    <col min="837" max="837" width="8.6328125" bestFit="1" customWidth="1"/>
    <col min="838" max="838" width="11.08984375" bestFit="1" customWidth="1"/>
    <col min="839" max="839" width="8.6328125" bestFit="1" customWidth="1"/>
    <col min="840" max="840" width="11.08984375" bestFit="1" customWidth="1"/>
    <col min="841" max="841" width="8.6328125" bestFit="1" customWidth="1"/>
    <col min="842" max="842" width="11.08984375" bestFit="1" customWidth="1"/>
    <col min="843" max="843" width="8.6328125" bestFit="1" customWidth="1"/>
    <col min="844" max="844" width="11.08984375" bestFit="1" customWidth="1"/>
    <col min="845" max="845" width="8.6328125" bestFit="1" customWidth="1"/>
    <col min="846" max="846" width="11.08984375" bestFit="1" customWidth="1"/>
    <col min="847" max="847" width="8.6328125" bestFit="1" customWidth="1"/>
    <col min="848" max="848" width="11.08984375" bestFit="1" customWidth="1"/>
    <col min="849" max="849" width="8.6328125" bestFit="1" customWidth="1"/>
    <col min="850" max="850" width="11.08984375" bestFit="1" customWidth="1"/>
    <col min="851" max="851" width="9.6328125" bestFit="1" customWidth="1"/>
    <col min="852" max="852" width="12.08984375" bestFit="1" customWidth="1"/>
    <col min="853" max="853" width="8.6328125" bestFit="1" customWidth="1"/>
    <col min="854" max="854" width="11.08984375" bestFit="1" customWidth="1"/>
    <col min="855" max="855" width="8.6328125" bestFit="1" customWidth="1"/>
    <col min="856" max="856" width="11.08984375" bestFit="1" customWidth="1"/>
    <col min="857" max="857" width="8.6328125" bestFit="1" customWidth="1"/>
    <col min="858" max="858" width="11.08984375" bestFit="1" customWidth="1"/>
    <col min="859" max="859" width="8.6328125" bestFit="1" customWidth="1"/>
    <col min="860" max="860" width="11.08984375" bestFit="1" customWidth="1"/>
    <col min="861" max="861" width="8.6328125" bestFit="1" customWidth="1"/>
    <col min="862" max="862" width="11.08984375" bestFit="1" customWidth="1"/>
    <col min="863" max="863" width="8.6328125" bestFit="1" customWidth="1"/>
    <col min="864" max="864" width="11.08984375" bestFit="1" customWidth="1"/>
    <col min="865" max="865" width="8.6328125" bestFit="1" customWidth="1"/>
    <col min="866" max="866" width="11.08984375" bestFit="1" customWidth="1"/>
    <col min="867" max="867" width="8.6328125" bestFit="1" customWidth="1"/>
    <col min="868" max="868" width="11.08984375" bestFit="1" customWidth="1"/>
    <col min="869" max="869" width="8.6328125" bestFit="1" customWidth="1"/>
    <col min="870" max="870" width="11.08984375" bestFit="1" customWidth="1"/>
    <col min="871" max="871" width="8.6328125" bestFit="1" customWidth="1"/>
    <col min="872" max="872" width="11.08984375" bestFit="1" customWidth="1"/>
    <col min="873" max="873" width="8.6328125" bestFit="1" customWidth="1"/>
    <col min="874" max="874" width="11.08984375" bestFit="1" customWidth="1"/>
    <col min="875" max="875" width="8.6328125" bestFit="1" customWidth="1"/>
    <col min="876" max="876" width="11.08984375" bestFit="1" customWidth="1"/>
    <col min="877" max="877" width="10.6328125" bestFit="1" customWidth="1"/>
    <col min="878" max="878" width="13.1796875" bestFit="1" customWidth="1"/>
    <col min="879" max="879" width="8.6328125" bestFit="1" customWidth="1"/>
    <col min="880" max="880" width="11.08984375" bestFit="1" customWidth="1"/>
    <col min="881" max="881" width="8.6328125" bestFit="1" customWidth="1"/>
    <col min="882" max="882" width="11.08984375" bestFit="1" customWidth="1"/>
    <col min="883" max="883" width="8.6328125" bestFit="1" customWidth="1"/>
    <col min="884" max="884" width="11.08984375" bestFit="1" customWidth="1"/>
    <col min="885" max="885" width="8.6328125" bestFit="1" customWidth="1"/>
    <col min="886" max="886" width="11.08984375" bestFit="1" customWidth="1"/>
    <col min="887" max="887" width="8.6328125" bestFit="1" customWidth="1"/>
    <col min="888" max="888" width="11.08984375" bestFit="1" customWidth="1"/>
    <col min="889" max="889" width="8.6328125" bestFit="1" customWidth="1"/>
    <col min="890" max="890" width="11.08984375" bestFit="1" customWidth="1"/>
    <col min="891" max="891" width="8.6328125" bestFit="1" customWidth="1"/>
    <col min="892" max="892" width="11.08984375" bestFit="1" customWidth="1"/>
    <col min="893" max="893" width="8.6328125" bestFit="1" customWidth="1"/>
    <col min="894" max="894" width="11.08984375" bestFit="1" customWidth="1"/>
    <col min="895" max="895" width="8.6328125" bestFit="1" customWidth="1"/>
    <col min="896" max="896" width="11.08984375" bestFit="1" customWidth="1"/>
    <col min="897" max="897" width="8.6328125" bestFit="1" customWidth="1"/>
    <col min="898" max="898" width="11.08984375" bestFit="1" customWidth="1"/>
    <col min="899" max="899" width="8.6328125" bestFit="1" customWidth="1"/>
    <col min="900" max="900" width="11.08984375" bestFit="1" customWidth="1"/>
    <col min="901" max="901" width="8.6328125" bestFit="1" customWidth="1"/>
    <col min="902" max="902" width="11.08984375" bestFit="1" customWidth="1"/>
    <col min="903" max="903" width="8.6328125" bestFit="1" customWidth="1"/>
    <col min="904" max="904" width="11.08984375" bestFit="1" customWidth="1"/>
    <col min="905" max="905" width="7.6328125" bestFit="1" customWidth="1"/>
    <col min="906" max="906" width="10.08984375" bestFit="1" customWidth="1"/>
    <col min="907" max="907" width="7.6328125" bestFit="1" customWidth="1"/>
    <col min="908" max="908" width="10.08984375" bestFit="1" customWidth="1"/>
    <col min="909" max="909" width="8.6328125" bestFit="1" customWidth="1"/>
    <col min="910" max="910" width="11.08984375" bestFit="1" customWidth="1"/>
    <col min="911" max="911" width="8.6328125" bestFit="1" customWidth="1"/>
    <col min="912" max="912" width="11.08984375" bestFit="1" customWidth="1"/>
    <col min="913" max="913" width="8.6328125" bestFit="1" customWidth="1"/>
    <col min="914" max="914" width="11.08984375" bestFit="1" customWidth="1"/>
    <col min="915" max="915" width="8.6328125" bestFit="1" customWidth="1"/>
    <col min="916" max="916" width="11.08984375" bestFit="1" customWidth="1"/>
    <col min="917" max="917" width="8.6328125" bestFit="1" customWidth="1"/>
    <col min="918" max="918" width="11.08984375" bestFit="1" customWidth="1"/>
    <col min="919" max="919" width="8.6328125" bestFit="1" customWidth="1"/>
    <col min="920" max="920" width="11.08984375" bestFit="1" customWidth="1"/>
    <col min="921" max="921" width="7.6328125" bestFit="1" customWidth="1"/>
    <col min="922" max="922" width="10.08984375" bestFit="1" customWidth="1"/>
    <col min="923" max="923" width="8.6328125" bestFit="1" customWidth="1"/>
    <col min="924" max="924" width="11.08984375" bestFit="1" customWidth="1"/>
    <col min="925" max="925" width="8.6328125" bestFit="1" customWidth="1"/>
    <col min="926" max="926" width="11.08984375" bestFit="1" customWidth="1"/>
    <col min="927" max="927" width="8.6328125" bestFit="1" customWidth="1"/>
    <col min="928" max="928" width="11.08984375" bestFit="1" customWidth="1"/>
    <col min="929" max="929" width="8.6328125" bestFit="1" customWidth="1"/>
    <col min="930" max="930" width="11.08984375" bestFit="1" customWidth="1"/>
    <col min="931" max="931" width="8.6328125" bestFit="1" customWidth="1"/>
    <col min="932" max="932" width="11.08984375" bestFit="1" customWidth="1"/>
    <col min="933" max="933" width="8.6328125" bestFit="1" customWidth="1"/>
    <col min="934" max="934" width="11.08984375" bestFit="1" customWidth="1"/>
    <col min="935" max="935" width="8.6328125" bestFit="1" customWidth="1"/>
    <col min="936" max="936" width="11.08984375" bestFit="1" customWidth="1"/>
    <col min="937" max="937" width="8.6328125" bestFit="1" customWidth="1"/>
    <col min="938" max="938" width="11.08984375" bestFit="1" customWidth="1"/>
    <col min="939" max="939" width="8.6328125" bestFit="1" customWidth="1"/>
    <col min="940" max="940" width="11.08984375" bestFit="1" customWidth="1"/>
    <col min="941" max="941" width="8.6328125" bestFit="1" customWidth="1"/>
    <col min="942" max="942" width="11.08984375" bestFit="1" customWidth="1"/>
    <col min="943" max="943" width="8.6328125" bestFit="1" customWidth="1"/>
    <col min="944" max="944" width="11.08984375" bestFit="1" customWidth="1"/>
    <col min="945" max="945" width="7.6328125" bestFit="1" customWidth="1"/>
    <col min="946" max="946" width="10.08984375" bestFit="1" customWidth="1"/>
    <col min="947" max="947" width="8.6328125" bestFit="1" customWidth="1"/>
    <col min="948" max="948" width="11.08984375" bestFit="1" customWidth="1"/>
    <col min="949" max="949" width="8.6328125" bestFit="1" customWidth="1"/>
    <col min="950" max="950" width="11.08984375" bestFit="1" customWidth="1"/>
    <col min="951" max="951" width="8.6328125" bestFit="1" customWidth="1"/>
    <col min="952" max="952" width="11.08984375" bestFit="1" customWidth="1"/>
    <col min="953" max="953" width="8.6328125" bestFit="1" customWidth="1"/>
    <col min="954" max="954" width="11.08984375" bestFit="1" customWidth="1"/>
    <col min="955" max="955" width="8.6328125" bestFit="1" customWidth="1"/>
    <col min="956" max="956" width="11.08984375" bestFit="1" customWidth="1"/>
    <col min="957" max="957" width="8.6328125" bestFit="1" customWidth="1"/>
    <col min="958" max="958" width="11.08984375" bestFit="1" customWidth="1"/>
    <col min="959" max="959" width="8.6328125" bestFit="1" customWidth="1"/>
    <col min="960" max="960" width="11.08984375" bestFit="1" customWidth="1"/>
    <col min="961" max="961" width="7.6328125" bestFit="1" customWidth="1"/>
    <col min="962" max="962" width="10.08984375" bestFit="1" customWidth="1"/>
    <col min="963" max="963" width="7.6328125" bestFit="1" customWidth="1"/>
    <col min="964" max="964" width="10.08984375" bestFit="1" customWidth="1"/>
    <col min="965" max="965" width="6.6328125" bestFit="1" customWidth="1"/>
    <col min="966" max="966" width="9.08984375" bestFit="1" customWidth="1"/>
    <col min="967" max="967" width="7.6328125" bestFit="1" customWidth="1"/>
    <col min="968" max="968" width="10.08984375" bestFit="1" customWidth="1"/>
    <col min="969" max="969" width="7.6328125" bestFit="1" customWidth="1"/>
    <col min="970" max="970" width="10.08984375" bestFit="1" customWidth="1"/>
    <col min="971" max="971" width="7.6328125" bestFit="1" customWidth="1"/>
    <col min="972" max="972" width="10.08984375" bestFit="1" customWidth="1"/>
    <col min="973" max="973" width="7.6328125" bestFit="1" customWidth="1"/>
    <col min="974" max="974" width="10.08984375" bestFit="1" customWidth="1"/>
    <col min="975" max="975" width="7.6328125" bestFit="1" customWidth="1"/>
    <col min="976" max="976" width="10.08984375" bestFit="1" customWidth="1"/>
    <col min="977" max="977" width="7.6328125" bestFit="1" customWidth="1"/>
    <col min="978" max="978" width="10.08984375" bestFit="1" customWidth="1"/>
    <col min="979" max="979" width="7.6328125" bestFit="1" customWidth="1"/>
    <col min="980" max="980" width="10.08984375" bestFit="1" customWidth="1"/>
    <col min="981" max="981" width="7.6328125" bestFit="1" customWidth="1"/>
    <col min="982" max="982" width="10.08984375" bestFit="1" customWidth="1"/>
    <col min="983" max="983" width="6.6328125" bestFit="1" customWidth="1"/>
    <col min="984" max="984" width="9.08984375" bestFit="1" customWidth="1"/>
    <col min="985" max="985" width="9.6328125" bestFit="1" customWidth="1"/>
    <col min="986" max="986" width="12.08984375" bestFit="1" customWidth="1"/>
    <col min="987" max="987" width="7.6328125" bestFit="1" customWidth="1"/>
    <col min="988" max="988" width="10.08984375" bestFit="1" customWidth="1"/>
    <col min="989" max="989" width="7.6328125" bestFit="1" customWidth="1"/>
    <col min="990" max="990" width="10.08984375" bestFit="1" customWidth="1"/>
    <col min="991" max="991" width="6.6328125" bestFit="1" customWidth="1"/>
    <col min="992" max="992" width="9.08984375" bestFit="1" customWidth="1"/>
    <col min="993" max="993" width="7.6328125" bestFit="1" customWidth="1"/>
    <col min="994" max="994" width="10.08984375" bestFit="1" customWidth="1"/>
    <col min="995" max="995" width="7.6328125" bestFit="1" customWidth="1"/>
    <col min="996" max="996" width="10.08984375" bestFit="1" customWidth="1"/>
    <col min="997" max="997" width="6.6328125" bestFit="1" customWidth="1"/>
    <col min="998" max="998" width="9.08984375" bestFit="1" customWidth="1"/>
    <col min="999" max="999" width="7.6328125" bestFit="1" customWidth="1"/>
    <col min="1000" max="1000" width="10.08984375" bestFit="1" customWidth="1"/>
    <col min="1001" max="1001" width="6.6328125" bestFit="1" customWidth="1"/>
    <col min="1002" max="1002" width="9.08984375" bestFit="1" customWidth="1"/>
    <col min="1003" max="1003" width="6.6328125" bestFit="1" customWidth="1"/>
    <col min="1004" max="1004" width="9.08984375" bestFit="1" customWidth="1"/>
    <col min="1005" max="1005" width="7.6328125" bestFit="1" customWidth="1"/>
    <col min="1006" max="1006" width="10.08984375" bestFit="1" customWidth="1"/>
    <col min="1007" max="1007" width="10.81640625" bestFit="1" customWidth="1"/>
    <col min="1008" max="1008" width="12.08984375" bestFit="1" customWidth="1"/>
  </cols>
  <sheetData>
    <row r="1" spans="1:156" ht="23.5" customHeight="1" x14ac:dyDescent="0.8">
      <c r="A1" s="22" t="s">
        <v>559</v>
      </c>
      <c r="B1" t="s">
        <v>585</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c r="CN1" s="29"/>
      <c r="CO1" s="29"/>
      <c r="CP1" s="29"/>
      <c r="CQ1" s="29"/>
      <c r="CR1" s="29"/>
      <c r="CS1" s="29"/>
      <c r="CT1" s="29"/>
      <c r="CU1" s="29"/>
      <c r="CV1" s="29"/>
      <c r="CW1" s="29"/>
      <c r="CX1" s="29"/>
      <c r="CY1" s="29"/>
      <c r="CZ1" s="29"/>
      <c r="DA1" s="29"/>
      <c r="DB1" s="29"/>
      <c r="DC1" s="29"/>
      <c r="DD1" s="29"/>
      <c r="DE1" s="29"/>
      <c r="DF1" s="29"/>
      <c r="DG1" s="29"/>
      <c r="DH1" s="29"/>
      <c r="DI1" s="29"/>
      <c r="DJ1" s="29"/>
      <c r="DK1" s="29"/>
      <c r="DL1" s="29"/>
      <c r="DM1" s="29"/>
      <c r="DN1" s="29"/>
      <c r="DO1" s="29"/>
      <c r="DP1" s="29"/>
      <c r="DQ1" s="29"/>
      <c r="DR1" s="29"/>
      <c r="DS1" s="29"/>
      <c r="DT1" s="29"/>
      <c r="DU1" s="29"/>
      <c r="DV1" s="29"/>
      <c r="DW1" s="29"/>
      <c r="DX1" s="29"/>
      <c r="DY1" s="29"/>
      <c r="DZ1" s="29"/>
      <c r="EA1" s="29"/>
      <c r="EB1" s="29"/>
      <c r="EC1" s="29"/>
      <c r="ED1" s="29"/>
      <c r="EE1" s="29"/>
      <c r="EF1" s="29"/>
      <c r="EG1" s="29"/>
      <c r="EH1" s="29"/>
      <c r="EI1" s="29"/>
      <c r="EJ1" s="29"/>
      <c r="EK1" s="29"/>
      <c r="EL1" s="29"/>
      <c r="EM1" s="29"/>
      <c r="EN1" s="29"/>
      <c r="EO1" s="29"/>
      <c r="EP1" s="29"/>
      <c r="EQ1" s="29"/>
      <c r="ER1" s="29"/>
      <c r="ES1" s="29"/>
      <c r="ET1" s="29"/>
      <c r="EU1" s="29"/>
      <c r="EV1" s="29"/>
      <c r="EW1" s="29"/>
      <c r="EX1" s="29"/>
      <c r="EY1" s="29"/>
      <c r="EZ1" s="29"/>
    </row>
    <row r="2" spans="1:156" ht="15" customHeight="1" x14ac:dyDescent="0.8">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row>
    <row r="3" spans="1:156" x14ac:dyDescent="0.35">
      <c r="A3" s="22" t="s">
        <v>609</v>
      </c>
      <c r="B3" s="5" t="s">
        <v>610</v>
      </c>
    </row>
    <row r="4" spans="1:156" x14ac:dyDescent="0.35">
      <c r="A4" s="2" t="s">
        <v>599</v>
      </c>
      <c r="B4" s="5">
        <v>117076.80900000001</v>
      </c>
    </row>
    <row r="5" spans="1:156" x14ac:dyDescent="0.35">
      <c r="A5" s="28" t="s">
        <v>588</v>
      </c>
      <c r="B5" s="5">
        <v>55845.546500000004</v>
      </c>
    </row>
    <row r="6" spans="1:156" x14ac:dyDescent="0.35">
      <c r="A6" s="28" t="s">
        <v>587</v>
      </c>
      <c r="B6" s="5">
        <v>34219.093999999997</v>
      </c>
    </row>
    <row r="7" spans="1:156" x14ac:dyDescent="0.35">
      <c r="A7" s="28" t="s">
        <v>589</v>
      </c>
      <c r="B7" s="5">
        <v>27012.168499999996</v>
      </c>
    </row>
    <row r="8" spans="1:156" x14ac:dyDescent="0.35">
      <c r="A8" s="2" t="s">
        <v>600</v>
      </c>
      <c r="B8" s="5">
        <v>193091.17850000004</v>
      </c>
    </row>
    <row r="9" spans="1:156" x14ac:dyDescent="0.35">
      <c r="A9" s="28" t="s">
        <v>592</v>
      </c>
      <c r="B9" s="5">
        <v>84843.936000000002</v>
      </c>
    </row>
    <row r="10" spans="1:156" x14ac:dyDescent="0.35">
      <c r="A10" s="28" t="s">
        <v>591</v>
      </c>
      <c r="B10" s="5">
        <v>64588.442999999992</v>
      </c>
    </row>
    <row r="11" spans="1:156" x14ac:dyDescent="0.35">
      <c r="A11" s="28" t="s">
        <v>590</v>
      </c>
      <c r="B11" s="5">
        <v>43658.799500000023</v>
      </c>
    </row>
    <row r="12" spans="1:156" x14ac:dyDescent="0.35">
      <c r="A12" s="2" t="s">
        <v>601</v>
      </c>
      <c r="B12" s="5">
        <v>159852.1575</v>
      </c>
    </row>
    <row r="13" spans="1:156" x14ac:dyDescent="0.35">
      <c r="A13" s="28" t="s">
        <v>593</v>
      </c>
      <c r="B13" s="5">
        <v>78405.736000000004</v>
      </c>
    </row>
    <row r="14" spans="1:156" x14ac:dyDescent="0.35">
      <c r="A14" s="28" t="s">
        <v>594</v>
      </c>
      <c r="B14" s="5">
        <v>47901.682000000008</v>
      </c>
    </row>
    <row r="15" spans="1:156" x14ac:dyDescent="0.35">
      <c r="A15" s="28" t="s">
        <v>595</v>
      </c>
      <c r="B15" s="5">
        <v>33544.739500000003</v>
      </c>
    </row>
    <row r="16" spans="1:156" x14ac:dyDescent="0.35">
      <c r="A16" s="2" t="s">
        <v>602</v>
      </c>
      <c r="B16" s="5">
        <v>243912.22799999997</v>
      </c>
    </row>
    <row r="17" spans="1:2" x14ac:dyDescent="0.35">
      <c r="A17" s="28" t="s">
        <v>597</v>
      </c>
      <c r="B17" s="5">
        <v>90117.271499999988</v>
      </c>
    </row>
    <row r="18" spans="1:2" x14ac:dyDescent="0.35">
      <c r="A18" s="28" t="s">
        <v>596</v>
      </c>
      <c r="B18" s="5">
        <v>84339.360499999995</v>
      </c>
    </row>
    <row r="19" spans="1:2" x14ac:dyDescent="0.35">
      <c r="A19" s="28" t="s">
        <v>598</v>
      </c>
      <c r="B19" s="5">
        <v>69455.59599999999</v>
      </c>
    </row>
    <row r="20" spans="1:2" x14ac:dyDescent="0.35">
      <c r="A20" s="2" t="s">
        <v>583</v>
      </c>
      <c r="B20" s="5">
        <v>713932.37300000014</v>
      </c>
    </row>
  </sheetData>
  <conditionalFormatting pivot="1" sqref="B5:B7 B9:B11 B13:B15 B17:B19">
    <cfRule type="top10" dxfId="6" priority="2" rank="1"/>
  </conditionalFormatting>
  <conditionalFormatting pivot="1" sqref="B5:B7 B9:B11 B13:B15 B17:B19">
    <cfRule type="top10" dxfId="5" priority="1" bottom="1" rank="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DAE0-BFE1-4727-8BD5-23856972DC0C}">
  <sheetPr codeName="Sheet9"/>
  <dimension ref="A3:F10"/>
  <sheetViews>
    <sheetView workbookViewId="0">
      <selection activeCell="A3" sqref="A3:F10"/>
    </sheetView>
  </sheetViews>
  <sheetFormatPr defaultRowHeight="14.5" x14ac:dyDescent="0.35"/>
  <cols>
    <col min="1" max="1" width="33.453125" customWidth="1"/>
    <col min="2" max="2" width="15.6328125" bestFit="1" customWidth="1"/>
    <col min="3" max="9" width="11.1796875" bestFit="1" customWidth="1"/>
    <col min="10" max="11" width="9.453125" bestFit="1" customWidth="1"/>
    <col min="12" max="12" width="8.26953125" bestFit="1" customWidth="1"/>
    <col min="13" max="13" width="5.7265625" bestFit="1" customWidth="1"/>
    <col min="14" max="14" width="6.08984375" bestFit="1" customWidth="1"/>
    <col min="15" max="15" width="9.36328125" bestFit="1" customWidth="1"/>
    <col min="16" max="18" width="6.453125" bestFit="1" customWidth="1"/>
    <col min="19" max="19" width="10.7265625" bestFit="1" customWidth="1"/>
    <col min="20" max="28" width="9.453125" bestFit="1" customWidth="1"/>
    <col min="29" max="35" width="8.453125" bestFit="1" customWidth="1"/>
    <col min="36" max="39" width="9.453125" bestFit="1" customWidth="1"/>
    <col min="40" max="46" width="8.453125" bestFit="1" customWidth="1"/>
    <col min="47" max="49" width="9.453125" bestFit="1" customWidth="1"/>
    <col min="50" max="58" width="8.453125" bestFit="1" customWidth="1"/>
    <col min="59" max="65" width="9.453125" bestFit="1" customWidth="1"/>
    <col min="66" max="73" width="8.453125" bestFit="1" customWidth="1"/>
    <col min="74" max="79" width="9.453125" bestFit="1" customWidth="1"/>
    <col min="80" max="88" width="8.453125" bestFit="1" customWidth="1"/>
    <col min="89" max="97" width="9.453125" bestFit="1" customWidth="1"/>
    <col min="98" max="104" width="8.453125" bestFit="1" customWidth="1"/>
    <col min="105" max="109" width="9.453125" bestFit="1" customWidth="1"/>
    <col min="110" max="116" width="8.453125" bestFit="1" customWidth="1"/>
    <col min="117" max="131" width="9.453125" bestFit="1" customWidth="1"/>
    <col min="132" max="137" width="10.453125" bestFit="1" customWidth="1"/>
    <col min="138" max="144" width="9.453125" bestFit="1" customWidth="1"/>
    <col min="145" max="150" width="10.453125" bestFit="1" customWidth="1"/>
    <col min="151" max="159" width="9.453125" bestFit="1" customWidth="1"/>
    <col min="160" max="167" width="10.453125" bestFit="1" customWidth="1"/>
    <col min="168" max="168" width="10.7265625" bestFit="1" customWidth="1"/>
  </cols>
  <sheetData>
    <row r="3" spans="1:6" x14ac:dyDescent="0.35">
      <c r="A3" s="22" t="s">
        <v>612</v>
      </c>
      <c r="B3" s="22" t="s">
        <v>611</v>
      </c>
    </row>
    <row r="4" spans="1:6" x14ac:dyDescent="0.35">
      <c r="B4" t="s">
        <v>605</v>
      </c>
      <c r="C4" t="s">
        <v>606</v>
      </c>
      <c r="D4" t="s">
        <v>607</v>
      </c>
      <c r="E4" t="s">
        <v>608</v>
      </c>
      <c r="F4" t="s">
        <v>583</v>
      </c>
    </row>
    <row r="6" spans="1:6" x14ac:dyDescent="0.35">
      <c r="A6" s="22" t="s">
        <v>584</v>
      </c>
    </row>
    <row r="7" spans="1:6" x14ac:dyDescent="0.35">
      <c r="A7" s="2" t="s">
        <v>540</v>
      </c>
      <c r="B7" s="5">
        <v>2053.0299999999997</v>
      </c>
      <c r="C7" s="5">
        <v>-237.5100000000001</v>
      </c>
      <c r="D7" s="5">
        <v>2059.04</v>
      </c>
      <c r="E7" s="5">
        <v>2366.9599999999996</v>
      </c>
      <c r="F7" s="5">
        <v>6241.5199999999986</v>
      </c>
    </row>
    <row r="8" spans="1:6" x14ac:dyDescent="0.35">
      <c r="A8" s="2" t="s">
        <v>538</v>
      </c>
      <c r="B8" s="5">
        <v>2383.2800000000016</v>
      </c>
      <c r="C8" s="5">
        <v>2824</v>
      </c>
      <c r="D8" s="5">
        <v>10680.06</v>
      </c>
      <c r="E8" s="5">
        <v>2394.2400000000007</v>
      </c>
      <c r="F8" s="5">
        <v>18281.580000000002</v>
      </c>
    </row>
    <row r="9" spans="1:6" x14ac:dyDescent="0.35">
      <c r="A9" s="2" t="s">
        <v>545</v>
      </c>
      <c r="B9" s="5">
        <v>2138.9499999999998</v>
      </c>
      <c r="C9" s="5">
        <v>16377.49</v>
      </c>
      <c r="D9" s="5">
        <v>13900.079999999998</v>
      </c>
      <c r="E9" s="5">
        <v>20873.620000000003</v>
      </c>
      <c r="F9" s="5">
        <v>53290.14</v>
      </c>
    </row>
    <row r="10" spans="1:6" x14ac:dyDescent="0.35">
      <c r="A10" s="2" t="s">
        <v>583</v>
      </c>
      <c r="B10" s="5">
        <v>6575.2600000000011</v>
      </c>
      <c r="C10" s="5">
        <v>18963.98</v>
      </c>
      <c r="D10" s="5">
        <v>26639.179999999997</v>
      </c>
      <c r="E10" s="5">
        <v>25634.820000000003</v>
      </c>
      <c r="F10" s="5">
        <v>77813.239999999991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G19"/>
  <sheetViews>
    <sheetView workbookViewId="0">
      <selection activeCell="E3" sqref="E3"/>
    </sheetView>
  </sheetViews>
  <sheetFormatPr defaultRowHeight="14.5" x14ac:dyDescent="0.35"/>
  <cols>
    <col min="1" max="1" width="46.81640625" customWidth="1"/>
    <col min="2" max="2" width="13.26953125" bestFit="1" customWidth="1"/>
    <col min="3" max="3" width="13.26953125" customWidth="1"/>
    <col min="4" max="4" width="31.453125" bestFit="1" customWidth="1"/>
    <col min="5" max="6" width="12.54296875" bestFit="1" customWidth="1"/>
    <col min="7" max="7" width="15.26953125" bestFit="1" customWidth="1"/>
  </cols>
  <sheetData>
    <row r="1" spans="1:7" x14ac:dyDescent="0.35">
      <c r="A1" s="6" t="s">
        <v>622</v>
      </c>
    </row>
    <row r="2" spans="1:7" x14ac:dyDescent="0.35">
      <c r="D2" s="7" t="s">
        <v>570</v>
      </c>
      <c r="E2" s="8"/>
    </row>
    <row r="3" spans="1:7" x14ac:dyDescent="0.35">
      <c r="A3" s="6" t="s">
        <v>571</v>
      </c>
      <c r="B3" s="6" t="s">
        <v>572</v>
      </c>
      <c r="C3" s="6"/>
      <c r="D3" s="9" t="s">
        <v>3</v>
      </c>
      <c r="E3" s="13">
        <v>956937.79904306226</v>
      </c>
      <c r="F3" s="5"/>
      <c r="G3" s="5"/>
    </row>
    <row r="4" spans="1:7" x14ac:dyDescent="0.35">
      <c r="A4" s="2" t="s">
        <v>571</v>
      </c>
      <c r="B4" s="5">
        <f>(E3-(E3*E4*1))*E5</f>
        <v>100000.00000000001</v>
      </c>
      <c r="D4" s="9" t="s">
        <v>4</v>
      </c>
      <c r="E4" s="10">
        <v>0.05</v>
      </c>
      <c r="G4" s="5"/>
    </row>
    <row r="5" spans="1:7" x14ac:dyDescent="0.35">
      <c r="A5" s="2"/>
      <c r="D5" s="9" t="s">
        <v>574</v>
      </c>
      <c r="E5" s="15">
        <v>0.11</v>
      </c>
      <c r="F5" s="5"/>
    </row>
    <row r="6" spans="1:7" x14ac:dyDescent="0.35">
      <c r="A6" s="2"/>
      <c r="B6" s="14"/>
      <c r="C6" s="14"/>
      <c r="D6" s="11"/>
      <c r="E6" s="12"/>
    </row>
    <row r="8" spans="1:7" x14ac:dyDescent="0.35">
      <c r="A8" s="6" t="s">
        <v>623</v>
      </c>
    </row>
    <row r="9" spans="1:7" x14ac:dyDescent="0.35">
      <c r="D9" s="7" t="s">
        <v>570</v>
      </c>
      <c r="E9" s="8"/>
    </row>
    <row r="10" spans="1:7" x14ac:dyDescent="0.35">
      <c r="A10" s="6" t="s">
        <v>571</v>
      </c>
      <c r="B10" s="6" t="s">
        <v>572</v>
      </c>
      <c r="C10" s="6"/>
      <c r="D10" s="9" t="s">
        <v>3</v>
      </c>
      <c r="E10" s="13">
        <v>713932.37</v>
      </c>
    </row>
    <row r="11" spans="1:7" x14ac:dyDescent="0.35">
      <c r="A11" s="2" t="s">
        <v>571</v>
      </c>
      <c r="B11" s="5">
        <f>(E10-(E10*E11*1))*E12</f>
        <v>100000</v>
      </c>
      <c r="D11" s="9" t="s">
        <v>4</v>
      </c>
      <c r="E11" s="10">
        <v>0.05</v>
      </c>
    </row>
    <row r="12" spans="1:7" x14ac:dyDescent="0.35">
      <c r="A12" s="2"/>
      <c r="D12" s="9" t="s">
        <v>574</v>
      </c>
      <c r="E12" s="15">
        <v>0.14744135763831082</v>
      </c>
    </row>
    <row r="13" spans="1:7" x14ac:dyDescent="0.35">
      <c r="A13" s="2"/>
      <c r="B13" s="14"/>
      <c r="C13" s="14"/>
      <c r="D13" s="11"/>
      <c r="E13" s="12"/>
    </row>
    <row r="14" spans="1:7" x14ac:dyDescent="0.35">
      <c r="A14" s="6" t="s">
        <v>573</v>
      </c>
    </row>
    <row r="15" spans="1:7" x14ac:dyDescent="0.35">
      <c r="D15" s="7" t="s">
        <v>570</v>
      </c>
      <c r="E15" s="8"/>
    </row>
    <row r="16" spans="1:7" x14ac:dyDescent="0.35">
      <c r="A16" s="6" t="s">
        <v>571</v>
      </c>
      <c r="B16" s="6" t="s">
        <v>572</v>
      </c>
      <c r="C16" s="6"/>
      <c r="D16" s="9" t="s">
        <v>3</v>
      </c>
      <c r="E16" s="13">
        <v>713932.37</v>
      </c>
    </row>
    <row r="17" spans="1:5" x14ac:dyDescent="0.35">
      <c r="A17" s="2" t="s">
        <v>571</v>
      </c>
      <c r="B17" s="5">
        <f>(E16-(E16*E17*1))*E18</f>
        <v>74605.932665</v>
      </c>
      <c r="D17" s="9" t="s">
        <v>4</v>
      </c>
      <c r="E17" s="10">
        <v>0.05</v>
      </c>
    </row>
    <row r="18" spans="1:5" x14ac:dyDescent="0.35">
      <c r="A18" s="2"/>
      <c r="D18" s="9" t="s">
        <v>574</v>
      </c>
      <c r="E18" s="15">
        <v>0.11</v>
      </c>
    </row>
    <row r="19" spans="1:5" x14ac:dyDescent="0.35">
      <c r="A19" s="2"/>
      <c r="B19" s="14"/>
      <c r="C19" s="14"/>
      <c r="D19" s="11"/>
      <c r="E19"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N502"/>
  <sheetViews>
    <sheetView workbookViewId="0">
      <selection sqref="A1:N502"/>
    </sheetView>
  </sheetViews>
  <sheetFormatPr defaultRowHeight="14.5" x14ac:dyDescent="0.35"/>
  <cols>
    <col min="2" max="2" width="11.26953125" bestFit="1" customWidth="1"/>
    <col min="5" max="5" width="15.7265625" bestFit="1" customWidth="1"/>
    <col min="6" max="6" width="34" bestFit="1" customWidth="1"/>
    <col min="7" max="7" width="9.81640625" bestFit="1" customWidth="1"/>
  </cols>
  <sheetData>
    <row r="1" spans="1:14" x14ac:dyDescent="0.35">
      <c r="A1" t="s">
        <v>0</v>
      </c>
      <c r="B1" t="s">
        <v>531</v>
      </c>
      <c r="C1" t="s">
        <v>532</v>
      </c>
      <c r="D1" t="s">
        <v>1</v>
      </c>
      <c r="E1" t="s">
        <v>558</v>
      </c>
      <c r="F1" t="s">
        <v>559</v>
      </c>
      <c r="G1" t="s">
        <v>2</v>
      </c>
      <c r="H1" t="s">
        <v>3</v>
      </c>
      <c r="I1" t="s">
        <v>4</v>
      </c>
      <c r="J1" t="s">
        <v>5</v>
      </c>
      <c r="K1" t="s">
        <v>6</v>
      </c>
      <c r="L1" t="s">
        <v>7</v>
      </c>
      <c r="M1" t="s">
        <v>8</v>
      </c>
    </row>
    <row r="2" spans="1:14" x14ac:dyDescent="0.35">
      <c r="A2" t="s">
        <v>306</v>
      </c>
      <c r="B2" s="1">
        <v>43103</v>
      </c>
      <c r="C2" t="s">
        <v>535</v>
      </c>
      <c r="D2" t="s">
        <v>12</v>
      </c>
      <c r="E2" t="s">
        <v>538</v>
      </c>
      <c r="F2" t="s">
        <v>554</v>
      </c>
      <c r="G2" t="s">
        <v>302</v>
      </c>
      <c r="H2">
        <v>434.77</v>
      </c>
      <c r="I2">
        <v>0.02</v>
      </c>
      <c r="J2">
        <v>37</v>
      </c>
      <c r="K2">
        <v>-155.21</v>
      </c>
      <c r="L2">
        <v>11.25</v>
      </c>
      <c r="M2">
        <v>0.36</v>
      </c>
    </row>
    <row r="3" spans="1:14" x14ac:dyDescent="0.35">
      <c r="A3" t="s">
        <v>382</v>
      </c>
      <c r="B3" s="1">
        <v>43104</v>
      </c>
      <c r="C3" t="s">
        <v>536</v>
      </c>
      <c r="D3" t="s">
        <v>22</v>
      </c>
      <c r="E3" t="s">
        <v>538</v>
      </c>
      <c r="F3" t="s">
        <v>551</v>
      </c>
      <c r="G3" t="s">
        <v>381</v>
      </c>
      <c r="H3">
        <v>2478.88</v>
      </c>
      <c r="I3">
        <v>0.02</v>
      </c>
      <c r="J3">
        <v>6</v>
      </c>
      <c r="K3">
        <v>593.59</v>
      </c>
      <c r="L3">
        <v>19.989999999999998</v>
      </c>
      <c r="M3">
        <v>0.38</v>
      </c>
      <c r="N3">
        <f>(H3-(H3*I3))*M3</f>
        <v>923.13491199999999</v>
      </c>
    </row>
    <row r="4" spans="1:14" x14ac:dyDescent="0.35">
      <c r="A4" t="s">
        <v>71</v>
      </c>
      <c r="B4" s="1">
        <v>43104</v>
      </c>
      <c r="C4" t="s">
        <v>533</v>
      </c>
      <c r="D4" t="s">
        <v>18</v>
      </c>
      <c r="E4" t="s">
        <v>540</v>
      </c>
      <c r="F4" t="s">
        <v>553</v>
      </c>
      <c r="G4" t="s">
        <v>70</v>
      </c>
      <c r="H4">
        <v>1049.79</v>
      </c>
      <c r="I4">
        <v>0.08</v>
      </c>
      <c r="J4">
        <v>21</v>
      </c>
      <c r="K4">
        <v>135.79</v>
      </c>
      <c r="L4">
        <v>19.989999999999998</v>
      </c>
      <c r="M4">
        <v>0.55000000000000004</v>
      </c>
    </row>
    <row r="5" spans="1:14" x14ac:dyDescent="0.35">
      <c r="A5" t="s">
        <v>71</v>
      </c>
      <c r="B5" s="1">
        <v>43104</v>
      </c>
      <c r="C5" t="s">
        <v>533</v>
      </c>
      <c r="D5" t="s">
        <v>25</v>
      </c>
      <c r="E5" t="s">
        <v>538</v>
      </c>
      <c r="F5" t="s">
        <v>539</v>
      </c>
      <c r="G5" t="s">
        <v>70</v>
      </c>
      <c r="H5">
        <v>817.18</v>
      </c>
      <c r="I5">
        <v>0.1</v>
      </c>
      <c r="J5">
        <v>16</v>
      </c>
      <c r="K5">
        <v>103.38</v>
      </c>
      <c r="L5">
        <v>5.08</v>
      </c>
      <c r="M5">
        <v>0.59</v>
      </c>
    </row>
    <row r="6" spans="1:14" x14ac:dyDescent="0.35">
      <c r="A6" t="s">
        <v>410</v>
      </c>
      <c r="B6" s="1">
        <v>43105</v>
      </c>
      <c r="C6" t="s">
        <v>537</v>
      </c>
      <c r="D6" t="s">
        <v>17</v>
      </c>
      <c r="E6" t="s">
        <v>540</v>
      </c>
      <c r="F6" t="s">
        <v>541</v>
      </c>
      <c r="G6" t="s">
        <v>409</v>
      </c>
      <c r="H6">
        <v>3904.12</v>
      </c>
      <c r="I6">
        <v>7.0000000000000007E-2</v>
      </c>
      <c r="J6">
        <v>50</v>
      </c>
      <c r="K6">
        <v>-1508.46</v>
      </c>
      <c r="L6">
        <v>55.81</v>
      </c>
      <c r="M6">
        <v>0.6</v>
      </c>
    </row>
    <row r="7" spans="1:14" x14ac:dyDescent="0.35">
      <c r="A7" t="s">
        <v>410</v>
      </c>
      <c r="B7" s="1">
        <v>43105</v>
      </c>
      <c r="C7" t="s">
        <v>537</v>
      </c>
      <c r="D7" t="s">
        <v>18</v>
      </c>
      <c r="E7" t="s">
        <v>540</v>
      </c>
      <c r="F7" t="s">
        <v>553</v>
      </c>
      <c r="G7" t="s">
        <v>409</v>
      </c>
      <c r="H7">
        <v>343.64</v>
      </c>
      <c r="I7">
        <v>0.06</v>
      </c>
      <c r="J7">
        <v>41</v>
      </c>
      <c r="K7">
        <v>13.29</v>
      </c>
      <c r="L7">
        <v>3.44</v>
      </c>
      <c r="M7">
        <v>0.49</v>
      </c>
    </row>
    <row r="8" spans="1:14" x14ac:dyDescent="0.35">
      <c r="A8" t="s">
        <v>408</v>
      </c>
      <c r="B8" s="1">
        <v>43105</v>
      </c>
      <c r="C8" t="s">
        <v>533</v>
      </c>
      <c r="D8" t="s">
        <v>21</v>
      </c>
      <c r="E8" t="s">
        <v>538</v>
      </c>
      <c r="F8" t="s">
        <v>555</v>
      </c>
      <c r="G8" t="s">
        <v>409</v>
      </c>
      <c r="H8">
        <v>256.64</v>
      </c>
      <c r="I8">
        <v>0.03</v>
      </c>
      <c r="J8">
        <v>42</v>
      </c>
      <c r="K8">
        <v>-28.29</v>
      </c>
      <c r="L8">
        <v>3.37</v>
      </c>
      <c r="M8">
        <v>0.54</v>
      </c>
    </row>
    <row r="9" spans="1:14" x14ac:dyDescent="0.35">
      <c r="A9" t="s">
        <v>355</v>
      </c>
      <c r="B9" s="1">
        <v>43105</v>
      </c>
      <c r="C9" t="s">
        <v>535</v>
      </c>
      <c r="D9" t="s">
        <v>22</v>
      </c>
      <c r="E9" t="s">
        <v>538</v>
      </c>
      <c r="F9" t="s">
        <v>551</v>
      </c>
      <c r="G9" t="s">
        <v>353</v>
      </c>
      <c r="H9">
        <v>156.47</v>
      </c>
      <c r="I9">
        <v>0.01</v>
      </c>
      <c r="J9">
        <v>20</v>
      </c>
      <c r="K9">
        <v>-39.229999999999997</v>
      </c>
      <c r="L9">
        <v>6.05</v>
      </c>
      <c r="M9">
        <v>0.39</v>
      </c>
    </row>
    <row r="10" spans="1:14" x14ac:dyDescent="0.35">
      <c r="A10" t="s">
        <v>449</v>
      </c>
      <c r="B10" s="1">
        <v>43106</v>
      </c>
      <c r="C10" t="s">
        <v>537</v>
      </c>
      <c r="D10" t="s">
        <v>19</v>
      </c>
      <c r="E10" t="s">
        <v>538</v>
      </c>
      <c r="F10" t="s">
        <v>557</v>
      </c>
      <c r="G10" t="s">
        <v>450</v>
      </c>
      <c r="H10">
        <v>124.06</v>
      </c>
      <c r="I10">
        <v>0.09</v>
      </c>
      <c r="J10">
        <v>17</v>
      </c>
      <c r="K10">
        <v>15.74</v>
      </c>
      <c r="L10">
        <v>2.5</v>
      </c>
      <c r="M10">
        <v>0.38</v>
      </c>
    </row>
    <row r="11" spans="1:14" x14ac:dyDescent="0.35">
      <c r="A11" t="s">
        <v>471</v>
      </c>
      <c r="B11" s="1">
        <v>43106</v>
      </c>
      <c r="C11" t="s">
        <v>533</v>
      </c>
      <c r="D11" t="s">
        <v>20</v>
      </c>
      <c r="E11" t="s">
        <v>540</v>
      </c>
      <c r="F11" t="s">
        <v>547</v>
      </c>
      <c r="G11" t="s">
        <v>469</v>
      </c>
      <c r="H11">
        <v>6739.92</v>
      </c>
      <c r="I11">
        <v>0.01</v>
      </c>
      <c r="J11">
        <v>35</v>
      </c>
      <c r="K11">
        <v>957.29</v>
      </c>
      <c r="L11">
        <v>30</v>
      </c>
      <c r="M11">
        <v>0.69</v>
      </c>
    </row>
    <row r="12" spans="1:14" x14ac:dyDescent="0.35">
      <c r="A12" t="s">
        <v>227</v>
      </c>
      <c r="B12" s="1">
        <v>43107</v>
      </c>
      <c r="C12" t="s">
        <v>537</v>
      </c>
      <c r="D12" t="s">
        <v>26</v>
      </c>
      <c r="E12" t="s">
        <v>545</v>
      </c>
      <c r="F12" t="s">
        <v>556</v>
      </c>
      <c r="G12" t="s">
        <v>224</v>
      </c>
      <c r="H12">
        <v>1559.5</v>
      </c>
      <c r="I12">
        <v>0.01</v>
      </c>
      <c r="J12">
        <v>38</v>
      </c>
      <c r="K12">
        <v>515.83000000000004</v>
      </c>
      <c r="L12">
        <v>1.99</v>
      </c>
      <c r="M12">
        <v>0.54</v>
      </c>
    </row>
    <row r="13" spans="1:14" x14ac:dyDescent="0.35">
      <c r="A13" t="s">
        <v>364</v>
      </c>
      <c r="B13" s="1">
        <v>43111</v>
      </c>
      <c r="C13" t="s">
        <v>533</v>
      </c>
      <c r="D13" t="s">
        <v>10</v>
      </c>
      <c r="E13" t="s">
        <v>538</v>
      </c>
      <c r="F13" t="s">
        <v>544</v>
      </c>
      <c r="G13" t="s">
        <v>365</v>
      </c>
      <c r="H13">
        <v>192.33</v>
      </c>
      <c r="I13">
        <v>0.01</v>
      </c>
      <c r="J13">
        <v>44</v>
      </c>
      <c r="K13">
        <v>48.54</v>
      </c>
      <c r="L13">
        <v>1.2</v>
      </c>
      <c r="M13">
        <v>0.44</v>
      </c>
    </row>
    <row r="14" spans="1:14" x14ac:dyDescent="0.35">
      <c r="A14" t="s">
        <v>506</v>
      </c>
      <c r="B14" s="1">
        <v>43112</v>
      </c>
      <c r="C14" t="s">
        <v>534</v>
      </c>
      <c r="D14" t="s">
        <v>22</v>
      </c>
      <c r="E14" t="s">
        <v>538</v>
      </c>
      <c r="F14" t="s">
        <v>551</v>
      </c>
      <c r="G14" t="s">
        <v>504</v>
      </c>
      <c r="H14">
        <v>464.59</v>
      </c>
      <c r="I14">
        <v>7.0000000000000007E-2</v>
      </c>
      <c r="J14">
        <v>17</v>
      </c>
      <c r="K14">
        <v>168.22</v>
      </c>
      <c r="L14">
        <v>1.49</v>
      </c>
      <c r="M14">
        <v>0.38</v>
      </c>
    </row>
    <row r="15" spans="1:14" x14ac:dyDescent="0.35">
      <c r="A15" t="s">
        <v>506</v>
      </c>
      <c r="B15" s="1">
        <v>43112</v>
      </c>
      <c r="C15" t="s">
        <v>534</v>
      </c>
      <c r="D15" t="s">
        <v>12</v>
      </c>
      <c r="E15" t="s">
        <v>538</v>
      </c>
      <c r="F15" t="s">
        <v>554</v>
      </c>
      <c r="G15" t="s">
        <v>504</v>
      </c>
      <c r="H15">
        <v>316.68</v>
      </c>
      <c r="I15">
        <v>0.06</v>
      </c>
      <c r="J15">
        <v>47</v>
      </c>
      <c r="K15">
        <v>-161</v>
      </c>
      <c r="L15">
        <v>7.49</v>
      </c>
      <c r="M15">
        <v>0.37</v>
      </c>
    </row>
    <row r="16" spans="1:14" x14ac:dyDescent="0.35">
      <c r="A16" t="s">
        <v>516</v>
      </c>
      <c r="B16" s="1">
        <v>43112</v>
      </c>
      <c r="C16" t="s">
        <v>533</v>
      </c>
      <c r="D16" t="s">
        <v>9</v>
      </c>
      <c r="E16" t="s">
        <v>538</v>
      </c>
      <c r="F16" t="s">
        <v>548</v>
      </c>
      <c r="G16" t="s">
        <v>514</v>
      </c>
      <c r="H16">
        <v>194.29</v>
      </c>
      <c r="I16">
        <v>0.09</v>
      </c>
      <c r="J16">
        <v>29</v>
      </c>
      <c r="K16">
        <v>-177.17</v>
      </c>
      <c r="L16">
        <v>8.3699999999999992</v>
      </c>
      <c r="M16">
        <v>0.57999999999999996</v>
      </c>
    </row>
    <row r="17" spans="1:13" x14ac:dyDescent="0.35">
      <c r="A17" t="s">
        <v>516</v>
      </c>
      <c r="B17" s="1">
        <v>43112</v>
      </c>
      <c r="C17" t="s">
        <v>533</v>
      </c>
      <c r="D17" t="s">
        <v>25</v>
      </c>
      <c r="E17" t="s">
        <v>538</v>
      </c>
      <c r="F17" t="s">
        <v>539</v>
      </c>
      <c r="G17" t="s">
        <v>514</v>
      </c>
      <c r="H17">
        <v>1621.1</v>
      </c>
      <c r="I17">
        <v>7.0000000000000007E-2</v>
      </c>
      <c r="J17">
        <v>33</v>
      </c>
      <c r="K17">
        <v>-971.36</v>
      </c>
      <c r="L17">
        <v>35</v>
      </c>
      <c r="M17">
        <v>0.83</v>
      </c>
    </row>
    <row r="18" spans="1:13" x14ac:dyDescent="0.35">
      <c r="A18" t="s">
        <v>126</v>
      </c>
      <c r="B18" s="1">
        <v>43118</v>
      </c>
      <c r="C18" t="s">
        <v>535</v>
      </c>
      <c r="D18" t="s">
        <v>10</v>
      </c>
      <c r="E18" t="s">
        <v>538</v>
      </c>
      <c r="F18" t="s">
        <v>544</v>
      </c>
      <c r="G18" t="s">
        <v>127</v>
      </c>
      <c r="H18">
        <v>35.479999999999997</v>
      </c>
      <c r="I18">
        <v>0.09</v>
      </c>
      <c r="J18">
        <v>14</v>
      </c>
      <c r="K18">
        <v>-9.19</v>
      </c>
      <c r="L18">
        <v>1.3</v>
      </c>
      <c r="M18">
        <v>0.59</v>
      </c>
    </row>
    <row r="19" spans="1:13" x14ac:dyDescent="0.35">
      <c r="A19" t="s">
        <v>126</v>
      </c>
      <c r="B19" s="1">
        <v>43118</v>
      </c>
      <c r="C19" t="s">
        <v>535</v>
      </c>
      <c r="D19" t="s">
        <v>9</v>
      </c>
      <c r="E19" t="s">
        <v>538</v>
      </c>
      <c r="F19" t="s">
        <v>548</v>
      </c>
      <c r="G19" t="s">
        <v>127</v>
      </c>
      <c r="H19">
        <v>15</v>
      </c>
      <c r="I19">
        <v>0.05</v>
      </c>
      <c r="J19">
        <v>1</v>
      </c>
      <c r="K19">
        <v>-11.02</v>
      </c>
      <c r="L19">
        <v>8.3699999999999992</v>
      </c>
      <c r="M19">
        <v>0.57999999999999996</v>
      </c>
    </row>
    <row r="20" spans="1:13" x14ac:dyDescent="0.35">
      <c r="A20" t="s">
        <v>451</v>
      </c>
      <c r="B20" s="1">
        <v>43122</v>
      </c>
      <c r="C20" t="s">
        <v>535</v>
      </c>
      <c r="D20" t="s">
        <v>26</v>
      </c>
      <c r="E20" t="s">
        <v>545</v>
      </c>
      <c r="F20" t="s">
        <v>556</v>
      </c>
      <c r="G20" t="s">
        <v>453</v>
      </c>
      <c r="H20">
        <v>4584.7299999999996</v>
      </c>
      <c r="I20">
        <v>7.0000000000000007E-2</v>
      </c>
      <c r="J20">
        <v>27</v>
      </c>
      <c r="K20">
        <v>812.38</v>
      </c>
      <c r="L20">
        <v>19.989999999999998</v>
      </c>
      <c r="M20">
        <v>0.48</v>
      </c>
    </row>
    <row r="21" spans="1:13" x14ac:dyDescent="0.35">
      <c r="A21" t="s">
        <v>451</v>
      </c>
      <c r="B21" s="1">
        <v>43122</v>
      </c>
      <c r="C21" t="s">
        <v>535</v>
      </c>
      <c r="D21" t="s">
        <v>11</v>
      </c>
      <c r="E21" t="s">
        <v>545</v>
      </c>
      <c r="F21" t="s">
        <v>552</v>
      </c>
      <c r="G21" t="s">
        <v>453</v>
      </c>
      <c r="H21">
        <v>2570.944</v>
      </c>
      <c r="I21">
        <v>0.03</v>
      </c>
      <c r="J21">
        <v>25</v>
      </c>
      <c r="K21">
        <v>553.36</v>
      </c>
      <c r="L21">
        <v>5.92</v>
      </c>
      <c r="M21">
        <v>0.57999999999999996</v>
      </c>
    </row>
    <row r="22" spans="1:13" x14ac:dyDescent="0.35">
      <c r="A22" t="s">
        <v>451</v>
      </c>
      <c r="B22" s="1">
        <v>43122</v>
      </c>
      <c r="C22" t="s">
        <v>535</v>
      </c>
      <c r="D22" t="s">
        <v>18</v>
      </c>
      <c r="E22" t="s">
        <v>540</v>
      </c>
      <c r="F22" t="s">
        <v>553</v>
      </c>
      <c r="G22" t="s">
        <v>453</v>
      </c>
      <c r="H22">
        <v>4039.72</v>
      </c>
      <c r="I22">
        <v>0.02</v>
      </c>
      <c r="J22">
        <v>44</v>
      </c>
      <c r="K22">
        <v>-237.6</v>
      </c>
      <c r="L22">
        <v>39.61</v>
      </c>
      <c r="M22">
        <v>0.67</v>
      </c>
    </row>
    <row r="23" spans="1:13" x14ac:dyDescent="0.35">
      <c r="A23" t="s">
        <v>451</v>
      </c>
      <c r="B23" s="1">
        <v>43122</v>
      </c>
      <c r="C23" t="s">
        <v>535</v>
      </c>
      <c r="D23" t="s">
        <v>22</v>
      </c>
      <c r="E23" t="s">
        <v>538</v>
      </c>
      <c r="F23" t="s">
        <v>551</v>
      </c>
      <c r="G23" t="s">
        <v>452</v>
      </c>
      <c r="H23">
        <v>562.79999999999995</v>
      </c>
      <c r="I23">
        <v>0.02</v>
      </c>
      <c r="J23">
        <v>36</v>
      </c>
      <c r="K23">
        <v>-17.45</v>
      </c>
      <c r="L23">
        <v>9.73</v>
      </c>
      <c r="M23">
        <v>0.36</v>
      </c>
    </row>
    <row r="24" spans="1:13" x14ac:dyDescent="0.35">
      <c r="A24" t="s">
        <v>398</v>
      </c>
      <c r="B24" s="1">
        <v>43126</v>
      </c>
      <c r="C24" t="s">
        <v>533</v>
      </c>
      <c r="D24" t="s">
        <v>20</v>
      </c>
      <c r="E24" t="s">
        <v>540</v>
      </c>
      <c r="F24" t="s">
        <v>547</v>
      </c>
      <c r="G24" t="s">
        <v>399</v>
      </c>
      <c r="H24">
        <v>1756.46</v>
      </c>
      <c r="I24">
        <v>0.01</v>
      </c>
      <c r="J24">
        <v>15</v>
      </c>
      <c r="K24">
        <v>-101.19</v>
      </c>
      <c r="L24">
        <v>30</v>
      </c>
      <c r="M24">
        <v>0.69</v>
      </c>
    </row>
    <row r="25" spans="1:13" x14ac:dyDescent="0.35">
      <c r="A25" t="s">
        <v>332</v>
      </c>
      <c r="B25" s="1">
        <v>43132</v>
      </c>
      <c r="C25" t="s">
        <v>533</v>
      </c>
      <c r="D25" t="s">
        <v>18</v>
      </c>
      <c r="E25" t="s">
        <v>540</v>
      </c>
      <c r="F25" t="s">
        <v>553</v>
      </c>
      <c r="G25" t="s">
        <v>329</v>
      </c>
      <c r="H25">
        <v>70.25</v>
      </c>
      <c r="I25">
        <v>0.1</v>
      </c>
      <c r="J25">
        <v>34</v>
      </c>
      <c r="K25">
        <v>-133.06</v>
      </c>
      <c r="L25">
        <v>5.33</v>
      </c>
      <c r="M25">
        <v>0.43</v>
      </c>
    </row>
    <row r="26" spans="1:13" x14ac:dyDescent="0.35">
      <c r="A26" t="s">
        <v>327</v>
      </c>
      <c r="B26" s="1">
        <v>43133</v>
      </c>
      <c r="C26" t="s">
        <v>533</v>
      </c>
      <c r="D26" t="s">
        <v>21</v>
      </c>
      <c r="E26" t="s">
        <v>538</v>
      </c>
      <c r="F26" t="s">
        <v>555</v>
      </c>
      <c r="G26" t="s">
        <v>325</v>
      </c>
      <c r="H26">
        <v>5.7</v>
      </c>
      <c r="I26">
        <v>0.1</v>
      </c>
      <c r="J26">
        <v>1</v>
      </c>
      <c r="K26">
        <v>-2.34</v>
      </c>
      <c r="L26">
        <v>2</v>
      </c>
      <c r="M26">
        <v>0.53</v>
      </c>
    </row>
    <row r="27" spans="1:13" x14ac:dyDescent="0.35">
      <c r="A27" t="s">
        <v>383</v>
      </c>
      <c r="B27" s="1">
        <v>43133</v>
      </c>
      <c r="C27" t="s">
        <v>536</v>
      </c>
      <c r="D27" t="s">
        <v>21</v>
      </c>
      <c r="E27" t="s">
        <v>538</v>
      </c>
      <c r="F27" t="s">
        <v>555</v>
      </c>
      <c r="G27" t="s">
        <v>381</v>
      </c>
      <c r="H27">
        <v>66.41</v>
      </c>
      <c r="I27">
        <v>0.04</v>
      </c>
      <c r="J27">
        <v>36</v>
      </c>
      <c r="K27">
        <v>0.37</v>
      </c>
      <c r="L27">
        <v>0.79</v>
      </c>
      <c r="M27">
        <v>0.5</v>
      </c>
    </row>
    <row r="28" spans="1:13" x14ac:dyDescent="0.35">
      <c r="A28" t="s">
        <v>396</v>
      </c>
      <c r="B28" s="1">
        <v>43134</v>
      </c>
      <c r="C28" t="s">
        <v>537</v>
      </c>
      <c r="D28" t="s">
        <v>11</v>
      </c>
      <c r="E28" t="s">
        <v>545</v>
      </c>
      <c r="F28" t="s">
        <v>552</v>
      </c>
      <c r="G28" t="s">
        <v>393</v>
      </c>
      <c r="H28">
        <v>1375.3765000000001</v>
      </c>
      <c r="I28">
        <v>0.03</v>
      </c>
      <c r="J28">
        <v>45</v>
      </c>
      <c r="K28">
        <v>592.22</v>
      </c>
      <c r="L28">
        <v>3.3</v>
      </c>
      <c r="M28">
        <v>0.39</v>
      </c>
    </row>
    <row r="29" spans="1:13" x14ac:dyDescent="0.35">
      <c r="A29" t="s">
        <v>345</v>
      </c>
      <c r="B29" s="1">
        <v>43134</v>
      </c>
      <c r="C29" t="s">
        <v>535</v>
      </c>
      <c r="D29" t="s">
        <v>22</v>
      </c>
      <c r="E29" t="s">
        <v>538</v>
      </c>
      <c r="F29" t="s">
        <v>551</v>
      </c>
      <c r="G29" t="s">
        <v>344</v>
      </c>
      <c r="H29">
        <v>11041.42</v>
      </c>
      <c r="I29">
        <v>7.0000000000000007E-2</v>
      </c>
      <c r="J29">
        <v>30</v>
      </c>
      <c r="K29">
        <v>4456.25</v>
      </c>
      <c r="L29">
        <v>19.989999999999998</v>
      </c>
      <c r="M29">
        <v>0.38</v>
      </c>
    </row>
    <row r="30" spans="1:13" x14ac:dyDescent="0.35">
      <c r="A30" t="s">
        <v>372</v>
      </c>
      <c r="B30" s="1">
        <v>43134</v>
      </c>
      <c r="C30" t="s">
        <v>536</v>
      </c>
      <c r="D30" t="s">
        <v>18</v>
      </c>
      <c r="E30" t="s">
        <v>540</v>
      </c>
      <c r="F30" t="s">
        <v>553</v>
      </c>
      <c r="G30" t="s">
        <v>373</v>
      </c>
      <c r="H30">
        <v>303.58999999999997</v>
      </c>
      <c r="I30">
        <v>0.1</v>
      </c>
      <c r="J30">
        <v>32</v>
      </c>
      <c r="K30">
        <v>-45.99</v>
      </c>
      <c r="L30">
        <v>6.22</v>
      </c>
      <c r="M30">
        <v>0.55000000000000004</v>
      </c>
    </row>
    <row r="31" spans="1:13" x14ac:dyDescent="0.35">
      <c r="A31" t="s">
        <v>372</v>
      </c>
      <c r="B31" s="1">
        <v>43134</v>
      </c>
      <c r="C31" t="s">
        <v>536</v>
      </c>
      <c r="D31" t="s">
        <v>12</v>
      </c>
      <c r="E31" t="s">
        <v>538</v>
      </c>
      <c r="F31" t="s">
        <v>554</v>
      </c>
      <c r="G31" t="s">
        <v>373</v>
      </c>
      <c r="H31">
        <v>191.6</v>
      </c>
      <c r="I31">
        <v>0.04</v>
      </c>
      <c r="J31">
        <v>36</v>
      </c>
      <c r="K31">
        <v>-150.74</v>
      </c>
      <c r="L31">
        <v>7.44</v>
      </c>
      <c r="M31">
        <v>0.36</v>
      </c>
    </row>
    <row r="32" spans="1:13" x14ac:dyDescent="0.35">
      <c r="A32" t="s">
        <v>41</v>
      </c>
      <c r="B32" s="1">
        <v>43134</v>
      </c>
      <c r="C32" t="s">
        <v>535</v>
      </c>
      <c r="D32" t="s">
        <v>12</v>
      </c>
      <c r="E32" t="s">
        <v>538</v>
      </c>
      <c r="F32" t="s">
        <v>554</v>
      </c>
      <c r="G32" t="s">
        <v>40</v>
      </c>
      <c r="H32">
        <v>393.31</v>
      </c>
      <c r="I32">
        <v>0.04</v>
      </c>
      <c r="J32">
        <v>20</v>
      </c>
      <c r="K32">
        <v>84.3</v>
      </c>
      <c r="L32">
        <v>5.86</v>
      </c>
      <c r="M32">
        <v>0.38</v>
      </c>
    </row>
    <row r="33" spans="1:13" x14ac:dyDescent="0.35">
      <c r="A33" t="s">
        <v>370</v>
      </c>
      <c r="B33" s="1">
        <v>43135</v>
      </c>
      <c r="C33" t="s">
        <v>534</v>
      </c>
      <c r="D33" t="s">
        <v>22</v>
      </c>
      <c r="E33" t="s">
        <v>538</v>
      </c>
      <c r="F33" t="s">
        <v>551</v>
      </c>
      <c r="G33" t="s">
        <v>371</v>
      </c>
      <c r="H33">
        <v>513.74</v>
      </c>
      <c r="I33">
        <v>0.02</v>
      </c>
      <c r="J33">
        <v>32</v>
      </c>
      <c r="K33">
        <v>-28.68</v>
      </c>
      <c r="L33">
        <v>10.130000000000001</v>
      </c>
      <c r="M33">
        <v>0.38</v>
      </c>
    </row>
    <row r="34" spans="1:13" x14ac:dyDescent="0.35">
      <c r="A34" t="s">
        <v>370</v>
      </c>
      <c r="B34" s="1">
        <v>43135</v>
      </c>
      <c r="C34" t="s">
        <v>534</v>
      </c>
      <c r="D34" t="s">
        <v>18</v>
      </c>
      <c r="E34" t="s">
        <v>540</v>
      </c>
      <c r="F34" t="s">
        <v>553</v>
      </c>
      <c r="G34" t="s">
        <v>371</v>
      </c>
      <c r="H34">
        <v>36.799999999999997</v>
      </c>
      <c r="I34">
        <v>0</v>
      </c>
      <c r="J34">
        <v>4</v>
      </c>
      <c r="K34">
        <v>14.19</v>
      </c>
      <c r="L34">
        <v>5.21</v>
      </c>
      <c r="M34">
        <v>0.56000000000000005</v>
      </c>
    </row>
    <row r="35" spans="1:13" x14ac:dyDescent="0.35">
      <c r="A35" t="s">
        <v>85</v>
      </c>
      <c r="B35" s="1">
        <v>43135</v>
      </c>
      <c r="C35" t="s">
        <v>536</v>
      </c>
      <c r="D35" t="s">
        <v>9</v>
      </c>
      <c r="E35" t="s">
        <v>538</v>
      </c>
      <c r="F35" t="s">
        <v>548</v>
      </c>
      <c r="G35" t="s">
        <v>84</v>
      </c>
      <c r="H35">
        <v>487.5</v>
      </c>
      <c r="I35">
        <v>0.05</v>
      </c>
      <c r="J35">
        <v>46</v>
      </c>
      <c r="K35">
        <v>-25.88</v>
      </c>
      <c r="L35">
        <v>4.68</v>
      </c>
      <c r="M35">
        <v>0.59</v>
      </c>
    </row>
    <row r="36" spans="1:13" x14ac:dyDescent="0.35">
      <c r="A36" t="s">
        <v>85</v>
      </c>
      <c r="B36" s="1">
        <v>43135</v>
      </c>
      <c r="C36" t="s">
        <v>536</v>
      </c>
      <c r="D36" t="s">
        <v>15</v>
      </c>
      <c r="E36" t="s">
        <v>538</v>
      </c>
      <c r="F36" t="s">
        <v>550</v>
      </c>
      <c r="G36" t="s">
        <v>84</v>
      </c>
      <c r="H36">
        <v>97.93</v>
      </c>
      <c r="I36">
        <v>7.0000000000000007E-2</v>
      </c>
      <c r="J36">
        <v>14</v>
      </c>
      <c r="K36">
        <v>-616.80999999999995</v>
      </c>
      <c r="L36">
        <v>49</v>
      </c>
      <c r="M36">
        <v>0.59</v>
      </c>
    </row>
    <row r="37" spans="1:13" x14ac:dyDescent="0.35">
      <c r="A37" t="s">
        <v>85</v>
      </c>
      <c r="B37" s="1">
        <v>43135</v>
      </c>
      <c r="C37" t="s">
        <v>536</v>
      </c>
      <c r="D37" t="s">
        <v>22</v>
      </c>
      <c r="E37" t="s">
        <v>538</v>
      </c>
      <c r="F37" t="s">
        <v>551</v>
      </c>
      <c r="G37" t="s">
        <v>84</v>
      </c>
      <c r="H37">
        <v>25.52</v>
      </c>
      <c r="I37">
        <v>7.0000000000000007E-2</v>
      </c>
      <c r="J37">
        <v>4</v>
      </c>
      <c r="K37">
        <v>-1.99</v>
      </c>
      <c r="L37">
        <v>1.49</v>
      </c>
      <c r="M37">
        <v>0.39</v>
      </c>
    </row>
    <row r="38" spans="1:13" x14ac:dyDescent="0.35">
      <c r="A38" t="s">
        <v>361</v>
      </c>
      <c r="B38" s="1">
        <v>43137</v>
      </c>
      <c r="C38" t="s">
        <v>534</v>
      </c>
      <c r="D38" t="s">
        <v>26</v>
      </c>
      <c r="E38" t="s">
        <v>545</v>
      </c>
      <c r="F38" t="s">
        <v>556</v>
      </c>
      <c r="G38" t="s">
        <v>359</v>
      </c>
      <c r="H38">
        <v>824.24</v>
      </c>
      <c r="I38">
        <v>0.1</v>
      </c>
      <c r="J38">
        <v>32</v>
      </c>
      <c r="K38">
        <v>-127.23</v>
      </c>
      <c r="L38">
        <v>5.89</v>
      </c>
      <c r="M38">
        <v>0.75</v>
      </c>
    </row>
    <row r="39" spans="1:13" x14ac:dyDescent="0.35">
      <c r="A39" t="s">
        <v>274</v>
      </c>
      <c r="B39" s="1">
        <v>43138</v>
      </c>
      <c r="C39" t="s">
        <v>535</v>
      </c>
      <c r="D39" t="s">
        <v>12</v>
      </c>
      <c r="E39" t="s">
        <v>538</v>
      </c>
      <c r="F39" t="s">
        <v>554</v>
      </c>
      <c r="G39" t="s">
        <v>272</v>
      </c>
      <c r="H39">
        <v>445.17</v>
      </c>
      <c r="I39">
        <v>0.02</v>
      </c>
      <c r="J39">
        <v>23</v>
      </c>
      <c r="K39">
        <v>38.11</v>
      </c>
      <c r="L39">
        <v>9.0299999999999994</v>
      </c>
      <c r="M39">
        <v>0.37</v>
      </c>
    </row>
    <row r="40" spans="1:13" x14ac:dyDescent="0.35">
      <c r="A40" t="s">
        <v>135</v>
      </c>
      <c r="B40" s="1">
        <v>43138</v>
      </c>
      <c r="C40" t="s">
        <v>537</v>
      </c>
      <c r="D40" t="s">
        <v>25</v>
      </c>
      <c r="E40" t="s">
        <v>538</v>
      </c>
      <c r="F40" t="s">
        <v>539</v>
      </c>
      <c r="G40" t="s">
        <v>131</v>
      </c>
      <c r="H40">
        <v>1455.04</v>
      </c>
      <c r="I40">
        <v>0.06</v>
      </c>
      <c r="J40">
        <v>9</v>
      </c>
      <c r="K40">
        <v>-7.58</v>
      </c>
      <c r="L40">
        <v>19.989999999999998</v>
      </c>
      <c r="M40">
        <v>0.66</v>
      </c>
    </row>
    <row r="41" spans="1:13" x14ac:dyDescent="0.35">
      <c r="A41" t="s">
        <v>530</v>
      </c>
      <c r="B41" s="1">
        <v>43139</v>
      </c>
      <c r="C41" t="s">
        <v>534</v>
      </c>
      <c r="D41" t="s">
        <v>13</v>
      </c>
      <c r="E41" t="s">
        <v>545</v>
      </c>
      <c r="F41" t="s">
        <v>549</v>
      </c>
      <c r="G41" t="s">
        <v>529</v>
      </c>
      <c r="H41">
        <v>4865.72</v>
      </c>
      <c r="I41">
        <v>0.03</v>
      </c>
      <c r="J41">
        <v>24</v>
      </c>
      <c r="K41">
        <v>1951.3</v>
      </c>
      <c r="L41">
        <v>15.59</v>
      </c>
      <c r="M41">
        <v>0.36</v>
      </c>
    </row>
    <row r="42" spans="1:13" x14ac:dyDescent="0.35">
      <c r="A42" t="s">
        <v>76</v>
      </c>
      <c r="B42" s="1">
        <v>43140</v>
      </c>
      <c r="C42" t="s">
        <v>534</v>
      </c>
      <c r="D42" t="s">
        <v>26</v>
      </c>
      <c r="E42" t="s">
        <v>545</v>
      </c>
      <c r="F42" t="s">
        <v>556</v>
      </c>
      <c r="G42" t="s">
        <v>75</v>
      </c>
      <c r="H42">
        <v>116.82</v>
      </c>
      <c r="I42">
        <v>0.02</v>
      </c>
      <c r="J42">
        <v>24</v>
      </c>
      <c r="K42">
        <v>-42.05</v>
      </c>
      <c r="L42">
        <v>2.39</v>
      </c>
      <c r="M42">
        <v>0.72</v>
      </c>
    </row>
    <row r="43" spans="1:13" x14ac:dyDescent="0.35">
      <c r="A43" t="s">
        <v>76</v>
      </c>
      <c r="B43" s="1">
        <v>43140</v>
      </c>
      <c r="C43" t="s">
        <v>534</v>
      </c>
      <c r="D43" t="s">
        <v>9</v>
      </c>
      <c r="E43" t="s">
        <v>538</v>
      </c>
      <c r="F43" t="s">
        <v>548</v>
      </c>
      <c r="G43" t="s">
        <v>75</v>
      </c>
      <c r="H43">
        <v>483.64</v>
      </c>
      <c r="I43">
        <v>0.1</v>
      </c>
      <c r="J43">
        <v>45</v>
      </c>
      <c r="K43">
        <v>28.39</v>
      </c>
      <c r="L43">
        <v>3.37</v>
      </c>
      <c r="M43">
        <v>0.56999999999999995</v>
      </c>
    </row>
    <row r="44" spans="1:13" x14ac:dyDescent="0.35">
      <c r="A44" t="s">
        <v>292</v>
      </c>
      <c r="B44" s="1">
        <v>43142</v>
      </c>
      <c r="C44" t="s">
        <v>533</v>
      </c>
      <c r="D44" t="s">
        <v>12</v>
      </c>
      <c r="E44" t="s">
        <v>538</v>
      </c>
      <c r="F44" t="s">
        <v>554</v>
      </c>
      <c r="G44" t="s">
        <v>293</v>
      </c>
      <c r="H44">
        <v>83.31</v>
      </c>
      <c r="I44">
        <v>0.06</v>
      </c>
      <c r="J44">
        <v>13</v>
      </c>
      <c r="K44">
        <v>22.8</v>
      </c>
      <c r="L44">
        <v>1.34</v>
      </c>
      <c r="M44">
        <v>0.36</v>
      </c>
    </row>
    <row r="45" spans="1:13" x14ac:dyDescent="0.35">
      <c r="A45" t="s">
        <v>86</v>
      </c>
      <c r="B45" s="1">
        <v>43142</v>
      </c>
      <c r="C45" t="s">
        <v>533</v>
      </c>
      <c r="D45" t="s">
        <v>22</v>
      </c>
      <c r="E45" t="s">
        <v>538</v>
      </c>
      <c r="F45" t="s">
        <v>551</v>
      </c>
      <c r="G45" t="s">
        <v>84</v>
      </c>
      <c r="H45">
        <v>457.68</v>
      </c>
      <c r="I45">
        <v>7.0000000000000007E-2</v>
      </c>
      <c r="J45">
        <v>16</v>
      </c>
      <c r="K45">
        <v>107.38</v>
      </c>
      <c r="L45">
        <v>6.27</v>
      </c>
      <c r="M45">
        <v>0.37</v>
      </c>
    </row>
    <row r="46" spans="1:13" x14ac:dyDescent="0.35">
      <c r="A46" t="s">
        <v>64</v>
      </c>
      <c r="B46" s="1">
        <v>43143</v>
      </c>
      <c r="C46" t="s">
        <v>534</v>
      </c>
      <c r="D46" t="s">
        <v>16</v>
      </c>
      <c r="E46" t="s">
        <v>540</v>
      </c>
      <c r="F46" t="s">
        <v>542</v>
      </c>
      <c r="G46" t="s">
        <v>63</v>
      </c>
      <c r="H46">
        <v>10006.280000000001</v>
      </c>
      <c r="I46">
        <v>0.1</v>
      </c>
      <c r="J46">
        <v>36</v>
      </c>
      <c r="K46">
        <v>-760.98</v>
      </c>
      <c r="L46">
        <v>61.76</v>
      </c>
      <c r="M46">
        <v>0.78</v>
      </c>
    </row>
    <row r="47" spans="1:13" x14ac:dyDescent="0.35">
      <c r="A47" t="s">
        <v>64</v>
      </c>
      <c r="B47" s="1">
        <v>43143</v>
      </c>
      <c r="C47" t="s">
        <v>534</v>
      </c>
      <c r="D47" t="s">
        <v>19</v>
      </c>
      <c r="E47" t="s">
        <v>538</v>
      </c>
      <c r="F47" t="s">
        <v>557</v>
      </c>
      <c r="G47" t="s">
        <v>63</v>
      </c>
      <c r="H47">
        <v>407.17</v>
      </c>
      <c r="I47">
        <v>0.04</v>
      </c>
      <c r="J47">
        <v>36</v>
      </c>
      <c r="K47">
        <v>-12.82</v>
      </c>
      <c r="L47">
        <v>6.97</v>
      </c>
      <c r="M47">
        <v>0.35</v>
      </c>
    </row>
    <row r="48" spans="1:13" x14ac:dyDescent="0.35">
      <c r="A48" t="s">
        <v>179</v>
      </c>
      <c r="B48" s="1">
        <v>43143</v>
      </c>
      <c r="C48" t="s">
        <v>536</v>
      </c>
      <c r="D48" t="s">
        <v>14</v>
      </c>
      <c r="E48" t="s">
        <v>538</v>
      </c>
      <c r="F48" t="s">
        <v>543</v>
      </c>
      <c r="G48" t="s">
        <v>176</v>
      </c>
      <c r="H48">
        <v>66.19</v>
      </c>
      <c r="I48">
        <v>0.02</v>
      </c>
      <c r="J48">
        <v>22</v>
      </c>
      <c r="K48">
        <v>15.84</v>
      </c>
      <c r="L48">
        <v>0.99</v>
      </c>
      <c r="M48">
        <v>0.36</v>
      </c>
    </row>
    <row r="49" spans="1:13" x14ac:dyDescent="0.35">
      <c r="A49" t="s">
        <v>179</v>
      </c>
      <c r="B49" s="1">
        <v>43143</v>
      </c>
      <c r="C49" t="s">
        <v>536</v>
      </c>
      <c r="D49" t="s">
        <v>26</v>
      </c>
      <c r="E49" t="s">
        <v>545</v>
      </c>
      <c r="F49" t="s">
        <v>556</v>
      </c>
      <c r="G49" t="s">
        <v>180</v>
      </c>
      <c r="H49">
        <v>1100.21</v>
      </c>
      <c r="I49">
        <v>0.03</v>
      </c>
      <c r="J49">
        <v>50</v>
      </c>
      <c r="K49">
        <v>433.59</v>
      </c>
      <c r="L49">
        <v>1.99</v>
      </c>
      <c r="M49">
        <v>0.43</v>
      </c>
    </row>
    <row r="50" spans="1:13" x14ac:dyDescent="0.35">
      <c r="A50" t="s">
        <v>93</v>
      </c>
      <c r="B50" s="1">
        <v>43144</v>
      </c>
      <c r="C50" t="s">
        <v>537</v>
      </c>
      <c r="D50" t="s">
        <v>19</v>
      </c>
      <c r="E50" t="s">
        <v>538</v>
      </c>
      <c r="F50" t="s">
        <v>557</v>
      </c>
      <c r="G50" t="s">
        <v>94</v>
      </c>
      <c r="H50">
        <v>49.04</v>
      </c>
      <c r="I50">
        <v>0.02</v>
      </c>
      <c r="J50">
        <v>8</v>
      </c>
      <c r="K50">
        <v>9.2899999999999991</v>
      </c>
      <c r="L50">
        <v>1.39</v>
      </c>
      <c r="M50">
        <v>0.38</v>
      </c>
    </row>
    <row r="51" spans="1:13" x14ac:dyDescent="0.35">
      <c r="A51" t="s">
        <v>93</v>
      </c>
      <c r="B51" s="1">
        <v>43144</v>
      </c>
      <c r="C51" t="s">
        <v>537</v>
      </c>
      <c r="D51" t="s">
        <v>16</v>
      </c>
      <c r="E51" t="s">
        <v>540</v>
      </c>
      <c r="F51" t="s">
        <v>542</v>
      </c>
      <c r="G51" t="s">
        <v>94</v>
      </c>
      <c r="H51">
        <v>2320.35</v>
      </c>
      <c r="I51">
        <v>0</v>
      </c>
      <c r="J51">
        <v>6</v>
      </c>
      <c r="K51">
        <v>-237.62</v>
      </c>
      <c r="L51">
        <v>84.84</v>
      </c>
      <c r="M51">
        <v>0.66</v>
      </c>
    </row>
    <row r="52" spans="1:13" x14ac:dyDescent="0.35">
      <c r="A52" t="s">
        <v>356</v>
      </c>
      <c r="B52" s="1">
        <v>43147</v>
      </c>
      <c r="C52" t="s">
        <v>533</v>
      </c>
      <c r="D52" t="s">
        <v>26</v>
      </c>
      <c r="E52" t="s">
        <v>545</v>
      </c>
      <c r="F52" t="s">
        <v>556</v>
      </c>
      <c r="G52" t="s">
        <v>357</v>
      </c>
      <c r="H52">
        <v>138.05000000000001</v>
      </c>
      <c r="I52">
        <v>0.09</v>
      </c>
      <c r="J52">
        <v>19</v>
      </c>
      <c r="K52">
        <v>-100.49</v>
      </c>
      <c r="L52">
        <v>5.53</v>
      </c>
      <c r="M52">
        <v>0.69</v>
      </c>
    </row>
    <row r="53" spans="1:13" x14ac:dyDescent="0.35">
      <c r="A53" t="s">
        <v>456</v>
      </c>
      <c r="B53" s="1">
        <v>43149</v>
      </c>
      <c r="C53" t="s">
        <v>534</v>
      </c>
      <c r="D53" t="s">
        <v>20</v>
      </c>
      <c r="E53" t="s">
        <v>540</v>
      </c>
      <c r="F53" t="s">
        <v>547</v>
      </c>
      <c r="G53" t="s">
        <v>457</v>
      </c>
      <c r="H53">
        <v>10554.63</v>
      </c>
      <c r="I53">
        <v>0.09</v>
      </c>
      <c r="J53">
        <v>30</v>
      </c>
      <c r="K53">
        <v>1240.25</v>
      </c>
      <c r="L53">
        <v>58.92</v>
      </c>
      <c r="M53">
        <v>0.64</v>
      </c>
    </row>
    <row r="54" spans="1:13" x14ac:dyDescent="0.35">
      <c r="A54" t="s">
        <v>456</v>
      </c>
      <c r="B54" s="1">
        <v>43149</v>
      </c>
      <c r="C54" t="s">
        <v>534</v>
      </c>
      <c r="D54" t="s">
        <v>16</v>
      </c>
      <c r="E54" t="s">
        <v>540</v>
      </c>
      <c r="F54" t="s">
        <v>542</v>
      </c>
      <c r="G54" t="s">
        <v>457</v>
      </c>
      <c r="H54">
        <v>1749.64</v>
      </c>
      <c r="I54">
        <v>0.04</v>
      </c>
      <c r="J54">
        <v>8</v>
      </c>
      <c r="K54">
        <v>-533.23</v>
      </c>
      <c r="L54">
        <v>69.64</v>
      </c>
      <c r="M54">
        <v>0.77</v>
      </c>
    </row>
    <row r="55" spans="1:13" x14ac:dyDescent="0.35">
      <c r="A55" t="s">
        <v>431</v>
      </c>
      <c r="B55" s="1">
        <v>43150</v>
      </c>
      <c r="C55" t="s">
        <v>536</v>
      </c>
      <c r="D55" t="s">
        <v>22</v>
      </c>
      <c r="E55" t="s">
        <v>538</v>
      </c>
      <c r="F55" t="s">
        <v>551</v>
      </c>
      <c r="G55" t="s">
        <v>432</v>
      </c>
      <c r="H55">
        <v>3465.97</v>
      </c>
      <c r="I55">
        <v>0.08</v>
      </c>
      <c r="J55">
        <v>4</v>
      </c>
      <c r="K55">
        <v>194.32</v>
      </c>
      <c r="L55">
        <v>19.989999999999998</v>
      </c>
      <c r="M55">
        <v>0.38</v>
      </c>
    </row>
    <row r="56" spans="1:13" x14ac:dyDescent="0.35">
      <c r="A56" t="s">
        <v>431</v>
      </c>
      <c r="B56" s="1">
        <v>43150</v>
      </c>
      <c r="C56" t="s">
        <v>536</v>
      </c>
      <c r="D56" t="s">
        <v>26</v>
      </c>
      <c r="E56" t="s">
        <v>545</v>
      </c>
      <c r="F56" t="s">
        <v>556</v>
      </c>
      <c r="G56" t="s">
        <v>432</v>
      </c>
      <c r="H56">
        <v>1307.8800000000001</v>
      </c>
      <c r="I56">
        <v>0.06</v>
      </c>
      <c r="J56">
        <v>13</v>
      </c>
      <c r="K56">
        <v>206.86</v>
      </c>
      <c r="L56">
        <v>7.18</v>
      </c>
      <c r="M56">
        <v>0.46</v>
      </c>
    </row>
    <row r="57" spans="1:13" x14ac:dyDescent="0.35">
      <c r="A57" t="s">
        <v>374</v>
      </c>
      <c r="B57" s="1">
        <v>43152</v>
      </c>
      <c r="C57" t="s">
        <v>536</v>
      </c>
      <c r="D57" t="s">
        <v>21</v>
      </c>
      <c r="E57" t="s">
        <v>538</v>
      </c>
      <c r="F57" t="s">
        <v>555</v>
      </c>
      <c r="G57" t="s">
        <v>375</v>
      </c>
      <c r="H57">
        <v>71.12</v>
      </c>
      <c r="I57">
        <v>0.1</v>
      </c>
      <c r="J57">
        <v>38</v>
      </c>
      <c r="K57">
        <v>-21.89</v>
      </c>
      <c r="L57">
        <v>0.7</v>
      </c>
      <c r="M57">
        <v>0.83</v>
      </c>
    </row>
    <row r="58" spans="1:13" x14ac:dyDescent="0.35">
      <c r="A58" t="s">
        <v>400</v>
      </c>
      <c r="B58" s="1">
        <v>43154</v>
      </c>
      <c r="C58" t="s">
        <v>537</v>
      </c>
      <c r="D58" t="s">
        <v>25</v>
      </c>
      <c r="E58" t="s">
        <v>538</v>
      </c>
      <c r="F58" t="s">
        <v>539</v>
      </c>
      <c r="G58" t="s">
        <v>401</v>
      </c>
      <c r="H58">
        <v>834.81</v>
      </c>
      <c r="I58">
        <v>0.03</v>
      </c>
      <c r="J58">
        <v>22</v>
      </c>
      <c r="K58">
        <v>1.98</v>
      </c>
      <c r="L58">
        <v>12.9</v>
      </c>
      <c r="M58">
        <v>0.56999999999999995</v>
      </c>
    </row>
    <row r="59" spans="1:13" x14ac:dyDescent="0.35">
      <c r="A59" t="s">
        <v>62</v>
      </c>
      <c r="B59" s="1">
        <v>43157</v>
      </c>
      <c r="C59" t="s">
        <v>534</v>
      </c>
      <c r="D59" t="s">
        <v>18</v>
      </c>
      <c r="E59" t="s">
        <v>540</v>
      </c>
      <c r="F59" t="s">
        <v>553</v>
      </c>
      <c r="G59" t="s">
        <v>63</v>
      </c>
      <c r="H59">
        <v>433.44</v>
      </c>
      <c r="I59">
        <v>0.1</v>
      </c>
      <c r="J59">
        <v>29</v>
      </c>
      <c r="K59">
        <v>147.46</v>
      </c>
      <c r="L59">
        <v>3.73</v>
      </c>
      <c r="M59">
        <v>0.46</v>
      </c>
    </row>
    <row r="60" spans="1:13" x14ac:dyDescent="0.35">
      <c r="A60" t="s">
        <v>79</v>
      </c>
      <c r="B60" s="1">
        <v>43160</v>
      </c>
      <c r="C60" t="s">
        <v>537</v>
      </c>
      <c r="D60" t="s">
        <v>12</v>
      </c>
      <c r="E60" t="s">
        <v>538</v>
      </c>
      <c r="F60" t="s">
        <v>554</v>
      </c>
      <c r="G60" t="s">
        <v>75</v>
      </c>
      <c r="H60">
        <v>85.56</v>
      </c>
      <c r="I60">
        <v>0.03</v>
      </c>
      <c r="J60">
        <v>15</v>
      </c>
      <c r="K60">
        <v>-41.58</v>
      </c>
      <c r="L60">
        <v>5.66</v>
      </c>
      <c r="M60">
        <v>0.4</v>
      </c>
    </row>
    <row r="61" spans="1:13" x14ac:dyDescent="0.35">
      <c r="A61" t="s">
        <v>79</v>
      </c>
      <c r="B61" s="1">
        <v>43160</v>
      </c>
      <c r="C61" t="s">
        <v>537</v>
      </c>
      <c r="D61" t="s">
        <v>11</v>
      </c>
      <c r="E61" t="s">
        <v>545</v>
      </c>
      <c r="F61" t="s">
        <v>552</v>
      </c>
      <c r="G61" t="s">
        <v>75</v>
      </c>
      <c r="H61">
        <v>754.65549999999996</v>
      </c>
      <c r="I61">
        <v>0.01</v>
      </c>
      <c r="J61">
        <v>8</v>
      </c>
      <c r="K61">
        <v>-212.55</v>
      </c>
      <c r="L61">
        <v>2.5</v>
      </c>
      <c r="M61">
        <v>0.56999999999999995</v>
      </c>
    </row>
    <row r="62" spans="1:13" x14ac:dyDescent="0.35">
      <c r="A62" t="s">
        <v>53</v>
      </c>
      <c r="B62" s="1">
        <v>43162</v>
      </c>
      <c r="C62" t="s">
        <v>535</v>
      </c>
      <c r="D62" t="s">
        <v>26</v>
      </c>
      <c r="E62" t="s">
        <v>545</v>
      </c>
      <c r="F62" t="s">
        <v>556</v>
      </c>
      <c r="G62" t="s">
        <v>54</v>
      </c>
      <c r="H62">
        <v>261.88</v>
      </c>
      <c r="I62">
        <v>0.08</v>
      </c>
      <c r="J62">
        <v>7</v>
      </c>
      <c r="K62">
        <v>-59.2</v>
      </c>
      <c r="L62">
        <v>1.99</v>
      </c>
      <c r="M62">
        <v>0.54</v>
      </c>
    </row>
    <row r="63" spans="1:13" x14ac:dyDescent="0.35">
      <c r="A63" t="s">
        <v>53</v>
      </c>
      <c r="B63" s="1">
        <v>43162</v>
      </c>
      <c r="C63" t="s">
        <v>535</v>
      </c>
      <c r="D63" t="s">
        <v>12</v>
      </c>
      <c r="E63" t="s">
        <v>538</v>
      </c>
      <c r="F63" t="s">
        <v>554</v>
      </c>
      <c r="G63" t="s">
        <v>54</v>
      </c>
      <c r="H63">
        <v>593.73</v>
      </c>
      <c r="I63">
        <v>0.04</v>
      </c>
      <c r="J63">
        <v>15</v>
      </c>
      <c r="K63">
        <v>108.01</v>
      </c>
      <c r="L63">
        <v>13.26</v>
      </c>
      <c r="M63">
        <v>0.36</v>
      </c>
    </row>
    <row r="64" spans="1:13" x14ac:dyDescent="0.35">
      <c r="A64" t="s">
        <v>279</v>
      </c>
      <c r="B64" s="1">
        <v>43163</v>
      </c>
      <c r="C64" t="s">
        <v>537</v>
      </c>
      <c r="D64" t="s">
        <v>13</v>
      </c>
      <c r="E64" t="s">
        <v>545</v>
      </c>
      <c r="F64" t="s">
        <v>549</v>
      </c>
      <c r="G64" t="s">
        <v>280</v>
      </c>
      <c r="H64">
        <v>1409.86</v>
      </c>
      <c r="I64">
        <v>7.0000000000000007E-2</v>
      </c>
      <c r="J64">
        <v>1</v>
      </c>
      <c r="K64">
        <v>-3461.12</v>
      </c>
      <c r="L64">
        <v>29.7</v>
      </c>
      <c r="M64">
        <v>0.56999999999999995</v>
      </c>
    </row>
    <row r="65" spans="1:13" x14ac:dyDescent="0.35">
      <c r="A65" t="s">
        <v>36</v>
      </c>
      <c r="B65" s="1">
        <v>43163</v>
      </c>
      <c r="C65" t="s">
        <v>534</v>
      </c>
      <c r="D65" t="s">
        <v>20</v>
      </c>
      <c r="E65" t="s">
        <v>540</v>
      </c>
      <c r="F65" t="s">
        <v>547</v>
      </c>
      <c r="G65" t="s">
        <v>34</v>
      </c>
      <c r="H65">
        <v>2703.37</v>
      </c>
      <c r="I65">
        <v>0.09</v>
      </c>
      <c r="J65">
        <v>18</v>
      </c>
      <c r="K65">
        <v>-231.6</v>
      </c>
      <c r="L65">
        <v>57.2</v>
      </c>
      <c r="M65">
        <v>0.59</v>
      </c>
    </row>
    <row r="66" spans="1:13" x14ac:dyDescent="0.35">
      <c r="A66" t="s">
        <v>36</v>
      </c>
      <c r="B66" s="1">
        <v>43163</v>
      </c>
      <c r="C66" t="s">
        <v>534</v>
      </c>
      <c r="D66" t="s">
        <v>25</v>
      </c>
      <c r="E66" t="s">
        <v>538</v>
      </c>
      <c r="F66" t="s">
        <v>539</v>
      </c>
      <c r="G66" t="s">
        <v>34</v>
      </c>
      <c r="H66">
        <v>1538.17</v>
      </c>
      <c r="I66">
        <v>0.02</v>
      </c>
      <c r="J66">
        <v>39</v>
      </c>
      <c r="K66">
        <v>-1119.6400000000001</v>
      </c>
      <c r="L66">
        <v>35</v>
      </c>
      <c r="M66">
        <v>0.8</v>
      </c>
    </row>
    <row r="67" spans="1:13" x14ac:dyDescent="0.35">
      <c r="A67" t="s">
        <v>95</v>
      </c>
      <c r="B67" s="1">
        <v>43164</v>
      </c>
      <c r="C67" t="s">
        <v>537</v>
      </c>
      <c r="D67" t="s">
        <v>19</v>
      </c>
      <c r="E67" t="s">
        <v>538</v>
      </c>
      <c r="F67" t="s">
        <v>557</v>
      </c>
      <c r="G67" t="s">
        <v>94</v>
      </c>
      <c r="H67">
        <v>364.8</v>
      </c>
      <c r="I67">
        <v>0.01</v>
      </c>
      <c r="J67">
        <v>42</v>
      </c>
      <c r="K67">
        <v>149.44999999999999</v>
      </c>
      <c r="L67">
        <v>1.39</v>
      </c>
      <c r="M67">
        <v>0.38</v>
      </c>
    </row>
    <row r="68" spans="1:13" x14ac:dyDescent="0.35">
      <c r="A68" t="s">
        <v>320</v>
      </c>
      <c r="B68" s="1">
        <v>43164</v>
      </c>
      <c r="C68" t="s">
        <v>536</v>
      </c>
      <c r="D68" t="s">
        <v>25</v>
      </c>
      <c r="E68" t="s">
        <v>538</v>
      </c>
      <c r="F68" t="s">
        <v>539</v>
      </c>
      <c r="G68" t="s">
        <v>321</v>
      </c>
      <c r="H68">
        <v>150.33000000000001</v>
      </c>
      <c r="I68">
        <v>0.08</v>
      </c>
      <c r="J68">
        <v>15</v>
      </c>
      <c r="K68">
        <v>-98.23</v>
      </c>
      <c r="L68">
        <v>9.4499999999999993</v>
      </c>
      <c r="M68">
        <v>0.6</v>
      </c>
    </row>
    <row r="69" spans="1:13" x14ac:dyDescent="0.35">
      <c r="A69" t="s">
        <v>515</v>
      </c>
      <c r="B69" s="1">
        <v>43164</v>
      </c>
      <c r="C69" t="s">
        <v>533</v>
      </c>
      <c r="D69" t="s">
        <v>12</v>
      </c>
      <c r="E69" t="s">
        <v>538</v>
      </c>
      <c r="F69" t="s">
        <v>554</v>
      </c>
      <c r="G69" t="s">
        <v>514</v>
      </c>
      <c r="H69">
        <v>112.91</v>
      </c>
      <c r="I69">
        <v>0.04</v>
      </c>
      <c r="J69">
        <v>16</v>
      </c>
      <c r="K69">
        <v>-72.81</v>
      </c>
      <c r="L69">
        <v>8.4</v>
      </c>
      <c r="M69">
        <v>0.37</v>
      </c>
    </row>
    <row r="70" spans="1:13" x14ac:dyDescent="0.35">
      <c r="A70" t="s">
        <v>515</v>
      </c>
      <c r="B70" s="1">
        <v>43164</v>
      </c>
      <c r="C70" t="s">
        <v>533</v>
      </c>
      <c r="D70" t="s">
        <v>9</v>
      </c>
      <c r="E70" t="s">
        <v>538</v>
      </c>
      <c r="F70" t="s">
        <v>548</v>
      </c>
      <c r="G70" t="s">
        <v>514</v>
      </c>
      <c r="H70">
        <v>180.92</v>
      </c>
      <c r="I70">
        <v>0.1</v>
      </c>
      <c r="J70">
        <v>22</v>
      </c>
      <c r="K70">
        <v>-82.54</v>
      </c>
      <c r="L70">
        <v>6.14</v>
      </c>
      <c r="M70">
        <v>0.59</v>
      </c>
    </row>
    <row r="71" spans="1:13" x14ac:dyDescent="0.35">
      <c r="A71" t="s">
        <v>515</v>
      </c>
      <c r="B71" s="1">
        <v>43164</v>
      </c>
      <c r="C71" t="s">
        <v>533</v>
      </c>
      <c r="D71" t="s">
        <v>26</v>
      </c>
      <c r="E71" t="s">
        <v>545</v>
      </c>
      <c r="F71" t="s">
        <v>556</v>
      </c>
      <c r="G71" t="s">
        <v>514</v>
      </c>
      <c r="H71">
        <v>31.68</v>
      </c>
      <c r="I71">
        <v>0.04</v>
      </c>
      <c r="J71">
        <v>17</v>
      </c>
      <c r="K71">
        <v>-23.69</v>
      </c>
      <c r="L71">
        <v>1.99</v>
      </c>
      <c r="M71">
        <v>0.51</v>
      </c>
    </row>
    <row r="72" spans="1:13" x14ac:dyDescent="0.35">
      <c r="A72" t="s">
        <v>259</v>
      </c>
      <c r="B72" s="1">
        <v>43165</v>
      </c>
      <c r="C72" t="s">
        <v>536</v>
      </c>
      <c r="D72" t="s">
        <v>11</v>
      </c>
      <c r="E72" t="s">
        <v>545</v>
      </c>
      <c r="F72" t="s">
        <v>552</v>
      </c>
      <c r="G72" t="s">
        <v>258</v>
      </c>
      <c r="H72">
        <v>2508.6729999999998</v>
      </c>
      <c r="I72">
        <v>0.03</v>
      </c>
      <c r="J72">
        <v>23</v>
      </c>
      <c r="K72">
        <v>417.47</v>
      </c>
      <c r="L72">
        <v>7.69</v>
      </c>
      <c r="M72">
        <v>0.57999999999999996</v>
      </c>
    </row>
    <row r="73" spans="1:13" x14ac:dyDescent="0.35">
      <c r="A73" t="s">
        <v>395</v>
      </c>
      <c r="B73" s="1">
        <v>43166</v>
      </c>
      <c r="C73" t="s">
        <v>535</v>
      </c>
      <c r="D73" t="s">
        <v>17</v>
      </c>
      <c r="E73" t="s">
        <v>540</v>
      </c>
      <c r="F73" t="s">
        <v>541</v>
      </c>
      <c r="G73" t="s">
        <v>393</v>
      </c>
      <c r="H73">
        <v>1209.3699999999999</v>
      </c>
      <c r="I73">
        <v>0.09</v>
      </c>
      <c r="J73">
        <v>8</v>
      </c>
      <c r="K73">
        <v>-407.85</v>
      </c>
      <c r="L73">
        <v>66.27</v>
      </c>
      <c r="M73">
        <v>0.65</v>
      </c>
    </row>
    <row r="74" spans="1:13" x14ac:dyDescent="0.35">
      <c r="A74" t="s">
        <v>151</v>
      </c>
      <c r="B74" s="1">
        <v>43166</v>
      </c>
      <c r="C74" t="s">
        <v>535</v>
      </c>
      <c r="D74" t="s">
        <v>10</v>
      </c>
      <c r="E74" t="s">
        <v>538</v>
      </c>
      <c r="F74" t="s">
        <v>544</v>
      </c>
      <c r="G74" t="s">
        <v>149</v>
      </c>
      <c r="H74">
        <v>113.09</v>
      </c>
      <c r="I74">
        <v>0.04</v>
      </c>
      <c r="J74">
        <v>39</v>
      </c>
      <c r="K74">
        <v>29.76</v>
      </c>
      <c r="L74">
        <v>0.81</v>
      </c>
      <c r="M74">
        <v>0.4</v>
      </c>
    </row>
    <row r="75" spans="1:13" x14ac:dyDescent="0.35">
      <c r="A75" t="s">
        <v>328</v>
      </c>
      <c r="B75" s="1">
        <v>43166</v>
      </c>
      <c r="C75" t="s">
        <v>535</v>
      </c>
      <c r="D75" t="s">
        <v>18</v>
      </c>
      <c r="E75" t="s">
        <v>540</v>
      </c>
      <c r="F75" t="s">
        <v>553</v>
      </c>
      <c r="G75" t="s">
        <v>329</v>
      </c>
      <c r="H75">
        <v>5051.8900000000003</v>
      </c>
      <c r="I75">
        <v>0.02</v>
      </c>
      <c r="J75">
        <v>47</v>
      </c>
      <c r="K75">
        <v>1708.84</v>
      </c>
      <c r="L75">
        <v>5.81</v>
      </c>
      <c r="M75">
        <v>0.65</v>
      </c>
    </row>
    <row r="76" spans="1:13" x14ac:dyDescent="0.35">
      <c r="A76" t="s">
        <v>28</v>
      </c>
      <c r="B76" s="1">
        <v>43166</v>
      </c>
      <c r="C76" t="s">
        <v>536</v>
      </c>
      <c r="D76" t="s">
        <v>10</v>
      </c>
      <c r="E76" t="s">
        <v>538</v>
      </c>
      <c r="F76" t="s">
        <v>544</v>
      </c>
      <c r="G76" t="s">
        <v>29</v>
      </c>
      <c r="H76">
        <v>54.78</v>
      </c>
      <c r="I76">
        <v>0.02</v>
      </c>
      <c r="J76">
        <v>32</v>
      </c>
      <c r="K76">
        <v>-30.54</v>
      </c>
      <c r="L76">
        <v>1.57</v>
      </c>
      <c r="M76">
        <v>0.59</v>
      </c>
    </row>
    <row r="77" spans="1:13" x14ac:dyDescent="0.35">
      <c r="A77" t="s">
        <v>28</v>
      </c>
      <c r="B77" s="1">
        <v>43166</v>
      </c>
      <c r="C77" t="s">
        <v>536</v>
      </c>
      <c r="D77" t="s">
        <v>10</v>
      </c>
      <c r="E77" t="s">
        <v>538</v>
      </c>
      <c r="F77" t="s">
        <v>544</v>
      </c>
      <c r="G77" t="s">
        <v>29</v>
      </c>
      <c r="H77">
        <v>304.83</v>
      </c>
      <c r="I77">
        <v>0.1</v>
      </c>
      <c r="J77">
        <v>47</v>
      </c>
      <c r="K77">
        <v>23.82</v>
      </c>
      <c r="L77">
        <v>2.35</v>
      </c>
      <c r="M77">
        <v>0.47</v>
      </c>
    </row>
    <row r="78" spans="1:13" x14ac:dyDescent="0.35">
      <c r="A78" t="s">
        <v>378</v>
      </c>
      <c r="B78" s="1">
        <v>43167</v>
      </c>
      <c r="C78" t="s">
        <v>534</v>
      </c>
      <c r="D78" t="s">
        <v>22</v>
      </c>
      <c r="E78" t="s">
        <v>538</v>
      </c>
      <c r="F78" t="s">
        <v>551</v>
      </c>
      <c r="G78" t="s">
        <v>377</v>
      </c>
      <c r="H78">
        <v>270.43</v>
      </c>
      <c r="I78">
        <v>7.0000000000000007E-2</v>
      </c>
      <c r="J78">
        <v>37</v>
      </c>
      <c r="K78">
        <v>-83.16</v>
      </c>
      <c r="L78">
        <v>6.16</v>
      </c>
      <c r="M78">
        <v>0.35</v>
      </c>
    </row>
    <row r="79" spans="1:13" x14ac:dyDescent="0.35">
      <c r="A79" t="s">
        <v>221</v>
      </c>
      <c r="B79" s="1">
        <v>43169</v>
      </c>
      <c r="C79" t="s">
        <v>533</v>
      </c>
      <c r="D79" t="s">
        <v>12</v>
      </c>
      <c r="E79" t="s">
        <v>538</v>
      </c>
      <c r="F79" t="s">
        <v>554</v>
      </c>
      <c r="G79" t="s">
        <v>222</v>
      </c>
      <c r="H79">
        <v>945.54</v>
      </c>
      <c r="I79">
        <v>0.03</v>
      </c>
      <c r="J79">
        <v>48</v>
      </c>
      <c r="K79">
        <v>254.58</v>
      </c>
      <c r="L79">
        <v>5.97</v>
      </c>
      <c r="M79">
        <v>0.38</v>
      </c>
    </row>
    <row r="80" spans="1:13" x14ac:dyDescent="0.35">
      <c r="A80" t="s">
        <v>462</v>
      </c>
      <c r="B80" s="1">
        <v>43171</v>
      </c>
      <c r="C80" t="s">
        <v>534</v>
      </c>
      <c r="D80" t="s">
        <v>18</v>
      </c>
      <c r="E80" t="s">
        <v>540</v>
      </c>
      <c r="F80" t="s">
        <v>553</v>
      </c>
      <c r="G80" t="s">
        <v>461</v>
      </c>
      <c r="H80">
        <v>3234.1</v>
      </c>
      <c r="I80">
        <v>0.03</v>
      </c>
      <c r="J80">
        <v>32</v>
      </c>
      <c r="K80">
        <v>2033.5</v>
      </c>
      <c r="L80">
        <v>8.99</v>
      </c>
      <c r="M80">
        <v>0.35</v>
      </c>
    </row>
    <row r="81" spans="1:13" x14ac:dyDescent="0.35">
      <c r="A81" t="s">
        <v>104</v>
      </c>
      <c r="B81" s="1">
        <v>43182</v>
      </c>
      <c r="C81" t="s">
        <v>535</v>
      </c>
      <c r="D81" t="s">
        <v>12</v>
      </c>
      <c r="E81" t="s">
        <v>538</v>
      </c>
      <c r="F81" t="s">
        <v>554</v>
      </c>
      <c r="G81" t="s">
        <v>105</v>
      </c>
      <c r="H81">
        <v>188.07</v>
      </c>
      <c r="I81">
        <v>0</v>
      </c>
      <c r="J81">
        <v>27</v>
      </c>
      <c r="K81">
        <v>-101.85</v>
      </c>
      <c r="L81">
        <v>7.86</v>
      </c>
      <c r="M81">
        <v>0.37</v>
      </c>
    </row>
    <row r="82" spans="1:13" x14ac:dyDescent="0.35">
      <c r="A82" t="s">
        <v>509</v>
      </c>
      <c r="B82" s="1">
        <v>43183</v>
      </c>
      <c r="C82" t="s">
        <v>536</v>
      </c>
      <c r="D82" t="s">
        <v>22</v>
      </c>
      <c r="E82" t="s">
        <v>538</v>
      </c>
      <c r="F82" t="s">
        <v>551</v>
      </c>
      <c r="G82" t="s">
        <v>510</v>
      </c>
      <c r="H82">
        <v>75.27</v>
      </c>
      <c r="I82">
        <v>0.06</v>
      </c>
      <c r="J82">
        <v>13</v>
      </c>
      <c r="K82">
        <v>-1.84</v>
      </c>
      <c r="L82">
        <v>2.99</v>
      </c>
      <c r="M82">
        <v>0.37</v>
      </c>
    </row>
    <row r="83" spans="1:13" x14ac:dyDescent="0.35">
      <c r="A83" t="s">
        <v>509</v>
      </c>
      <c r="B83" s="1">
        <v>43183</v>
      </c>
      <c r="C83" t="s">
        <v>536</v>
      </c>
      <c r="D83" t="s">
        <v>11</v>
      </c>
      <c r="E83" t="s">
        <v>545</v>
      </c>
      <c r="F83" t="s">
        <v>552</v>
      </c>
      <c r="G83" t="s">
        <v>510</v>
      </c>
      <c r="H83">
        <v>3683.73</v>
      </c>
      <c r="I83">
        <v>0.09</v>
      </c>
      <c r="J83">
        <v>35</v>
      </c>
      <c r="K83">
        <v>708.76</v>
      </c>
      <c r="L83">
        <v>8.99</v>
      </c>
      <c r="M83">
        <v>0.59</v>
      </c>
    </row>
    <row r="84" spans="1:13" x14ac:dyDescent="0.35">
      <c r="A84" t="s">
        <v>509</v>
      </c>
      <c r="B84" s="1">
        <v>43183</v>
      </c>
      <c r="C84" t="s">
        <v>536</v>
      </c>
      <c r="D84" t="s">
        <v>26</v>
      </c>
      <c r="E84" t="s">
        <v>545</v>
      </c>
      <c r="F84" t="s">
        <v>556</v>
      </c>
      <c r="G84" t="s">
        <v>510</v>
      </c>
      <c r="H84">
        <v>1184.53</v>
      </c>
      <c r="I84">
        <v>0.05</v>
      </c>
      <c r="J84">
        <v>31</v>
      </c>
      <c r="K84">
        <v>-26.49</v>
      </c>
      <c r="L84">
        <v>7.12</v>
      </c>
      <c r="M84">
        <v>0.67</v>
      </c>
    </row>
    <row r="85" spans="1:13" x14ac:dyDescent="0.35">
      <c r="A85" t="s">
        <v>343</v>
      </c>
      <c r="B85" s="1">
        <v>43191</v>
      </c>
      <c r="C85" t="s">
        <v>535</v>
      </c>
      <c r="D85" t="s">
        <v>15</v>
      </c>
      <c r="E85" t="s">
        <v>538</v>
      </c>
      <c r="F85" t="s">
        <v>550</v>
      </c>
      <c r="G85" t="s">
        <v>344</v>
      </c>
      <c r="H85">
        <v>876.75</v>
      </c>
      <c r="I85">
        <v>0.02</v>
      </c>
      <c r="J85">
        <v>3</v>
      </c>
      <c r="K85">
        <v>-248.69</v>
      </c>
      <c r="L85">
        <v>19.989999999999998</v>
      </c>
      <c r="M85">
        <v>0.56000000000000005</v>
      </c>
    </row>
    <row r="86" spans="1:13" x14ac:dyDescent="0.35">
      <c r="A86" t="s">
        <v>343</v>
      </c>
      <c r="B86" s="1">
        <v>43191</v>
      </c>
      <c r="C86" t="s">
        <v>535</v>
      </c>
      <c r="D86" t="s">
        <v>27</v>
      </c>
      <c r="E86" t="s">
        <v>545</v>
      </c>
      <c r="F86" t="s">
        <v>546</v>
      </c>
      <c r="G86" t="s">
        <v>344</v>
      </c>
      <c r="H86">
        <v>2249.0500000000002</v>
      </c>
      <c r="I86">
        <v>0.02</v>
      </c>
      <c r="J86">
        <v>5</v>
      </c>
      <c r="K86">
        <v>-571.24</v>
      </c>
      <c r="L86">
        <v>24.49</v>
      </c>
      <c r="M86">
        <v>0.52</v>
      </c>
    </row>
    <row r="87" spans="1:13" x14ac:dyDescent="0.35">
      <c r="A87" t="s">
        <v>343</v>
      </c>
      <c r="B87" s="1">
        <v>43191</v>
      </c>
      <c r="C87" t="s">
        <v>535</v>
      </c>
      <c r="D87" t="s">
        <v>25</v>
      </c>
      <c r="E87" t="s">
        <v>538</v>
      </c>
      <c r="F87" t="s">
        <v>539</v>
      </c>
      <c r="G87" t="s">
        <v>344</v>
      </c>
      <c r="H87">
        <v>4813.67</v>
      </c>
      <c r="I87">
        <v>0.03</v>
      </c>
      <c r="J87">
        <v>48</v>
      </c>
      <c r="K87">
        <v>44.58</v>
      </c>
      <c r="L87">
        <v>19.989999999999998</v>
      </c>
      <c r="M87">
        <v>0.79</v>
      </c>
    </row>
    <row r="88" spans="1:13" x14ac:dyDescent="0.35">
      <c r="A88" t="s">
        <v>141</v>
      </c>
      <c r="B88" s="1">
        <v>43191</v>
      </c>
      <c r="C88" t="s">
        <v>537</v>
      </c>
      <c r="D88" t="s">
        <v>22</v>
      </c>
      <c r="E88" t="s">
        <v>538</v>
      </c>
      <c r="F88" t="s">
        <v>551</v>
      </c>
      <c r="G88" t="s">
        <v>139</v>
      </c>
      <c r="H88">
        <v>218.77</v>
      </c>
      <c r="I88">
        <v>0.03</v>
      </c>
      <c r="J88">
        <v>38</v>
      </c>
      <c r="K88">
        <v>-188.13</v>
      </c>
      <c r="L88">
        <v>7.78</v>
      </c>
      <c r="M88">
        <v>0.37</v>
      </c>
    </row>
    <row r="89" spans="1:13" x14ac:dyDescent="0.35">
      <c r="A89" t="s">
        <v>273</v>
      </c>
      <c r="B89" s="1">
        <v>43192</v>
      </c>
      <c r="C89" t="s">
        <v>536</v>
      </c>
      <c r="D89" t="s">
        <v>21</v>
      </c>
      <c r="E89" t="s">
        <v>538</v>
      </c>
      <c r="F89" t="s">
        <v>555</v>
      </c>
      <c r="G89" t="s">
        <v>272</v>
      </c>
      <c r="H89">
        <v>73.55</v>
      </c>
      <c r="I89">
        <v>0.09</v>
      </c>
      <c r="J89">
        <v>32</v>
      </c>
      <c r="K89">
        <v>7.95</v>
      </c>
      <c r="L89">
        <v>0.78</v>
      </c>
      <c r="M89">
        <v>0.52</v>
      </c>
    </row>
    <row r="90" spans="1:13" x14ac:dyDescent="0.35">
      <c r="A90" t="s">
        <v>273</v>
      </c>
      <c r="B90" s="1">
        <v>43192</v>
      </c>
      <c r="C90" t="s">
        <v>536</v>
      </c>
      <c r="D90" t="s">
        <v>11</v>
      </c>
      <c r="E90" t="s">
        <v>545</v>
      </c>
      <c r="F90" t="s">
        <v>552</v>
      </c>
      <c r="G90" t="s">
        <v>272</v>
      </c>
      <c r="H90">
        <v>4804.0384999999997</v>
      </c>
      <c r="I90">
        <v>0.08</v>
      </c>
      <c r="J90">
        <v>46</v>
      </c>
      <c r="K90">
        <v>1077.92</v>
      </c>
      <c r="L90">
        <v>8.8000000000000007</v>
      </c>
      <c r="M90">
        <v>0.59</v>
      </c>
    </row>
    <row r="91" spans="1:13" x14ac:dyDescent="0.35">
      <c r="A91" t="s">
        <v>148</v>
      </c>
      <c r="B91" s="1">
        <v>43192</v>
      </c>
      <c r="C91" t="s">
        <v>536</v>
      </c>
      <c r="D91" t="s">
        <v>26</v>
      </c>
      <c r="E91" t="s">
        <v>545</v>
      </c>
      <c r="F91" t="s">
        <v>556</v>
      </c>
      <c r="G91" t="s">
        <v>149</v>
      </c>
      <c r="H91">
        <v>69.66</v>
      </c>
      <c r="I91">
        <v>7.0000000000000007E-2</v>
      </c>
      <c r="J91">
        <v>40</v>
      </c>
      <c r="K91">
        <v>-51.42</v>
      </c>
      <c r="L91">
        <v>1.99</v>
      </c>
      <c r="M91">
        <v>0.51</v>
      </c>
    </row>
    <row r="92" spans="1:13" x14ac:dyDescent="0.35">
      <c r="A92" t="s">
        <v>406</v>
      </c>
      <c r="B92" s="1">
        <v>43193</v>
      </c>
      <c r="C92" t="s">
        <v>537</v>
      </c>
      <c r="D92" t="s">
        <v>20</v>
      </c>
      <c r="E92" t="s">
        <v>540</v>
      </c>
      <c r="F92" t="s">
        <v>547</v>
      </c>
      <c r="G92" t="s">
        <v>407</v>
      </c>
      <c r="H92">
        <v>5544.99</v>
      </c>
      <c r="I92">
        <v>0.04</v>
      </c>
      <c r="J92">
        <v>43</v>
      </c>
      <c r="K92">
        <v>-3404.24</v>
      </c>
      <c r="L92">
        <v>130</v>
      </c>
      <c r="M92">
        <v>0.78</v>
      </c>
    </row>
    <row r="93" spans="1:13" x14ac:dyDescent="0.35">
      <c r="A93" t="s">
        <v>303</v>
      </c>
      <c r="B93" s="1">
        <v>43193</v>
      </c>
      <c r="C93" t="s">
        <v>536</v>
      </c>
      <c r="D93" t="s">
        <v>20</v>
      </c>
      <c r="E93" t="s">
        <v>540</v>
      </c>
      <c r="F93" t="s">
        <v>547</v>
      </c>
      <c r="G93" t="s">
        <v>302</v>
      </c>
      <c r="H93">
        <v>11266.4</v>
      </c>
      <c r="I93">
        <v>0.08</v>
      </c>
      <c r="J93">
        <v>50</v>
      </c>
      <c r="K93">
        <v>1902.99</v>
      </c>
      <c r="L93">
        <v>43.32</v>
      </c>
      <c r="M93">
        <v>0.55000000000000004</v>
      </c>
    </row>
    <row r="94" spans="1:13" x14ac:dyDescent="0.35">
      <c r="A94" t="s">
        <v>303</v>
      </c>
      <c r="B94" s="1">
        <v>43193</v>
      </c>
      <c r="C94" t="s">
        <v>536</v>
      </c>
      <c r="D94" t="s">
        <v>26</v>
      </c>
      <c r="E94" t="s">
        <v>545</v>
      </c>
      <c r="F94" t="s">
        <v>556</v>
      </c>
      <c r="G94" t="s">
        <v>302</v>
      </c>
      <c r="H94">
        <v>71.61</v>
      </c>
      <c r="I94">
        <v>0.1</v>
      </c>
      <c r="J94">
        <v>15</v>
      </c>
      <c r="K94">
        <v>-70.31</v>
      </c>
      <c r="L94">
        <v>4.93</v>
      </c>
      <c r="M94">
        <v>0.66</v>
      </c>
    </row>
    <row r="95" spans="1:13" x14ac:dyDescent="0.35">
      <c r="A95" t="s">
        <v>303</v>
      </c>
      <c r="B95" s="1">
        <v>43193</v>
      </c>
      <c r="C95" t="s">
        <v>536</v>
      </c>
      <c r="D95" t="s">
        <v>12</v>
      </c>
      <c r="E95" t="s">
        <v>538</v>
      </c>
      <c r="F95" t="s">
        <v>554</v>
      </c>
      <c r="G95" t="s">
        <v>302</v>
      </c>
      <c r="H95">
        <v>10.43</v>
      </c>
      <c r="I95">
        <v>7.0000000000000007E-2</v>
      </c>
      <c r="J95">
        <v>2</v>
      </c>
      <c r="K95">
        <v>-4.72</v>
      </c>
      <c r="L95">
        <v>0.8</v>
      </c>
      <c r="M95">
        <v>0.36</v>
      </c>
    </row>
    <row r="96" spans="1:13" x14ac:dyDescent="0.35">
      <c r="A96" t="s">
        <v>413</v>
      </c>
      <c r="B96" s="1">
        <v>43194</v>
      </c>
      <c r="C96" t="s">
        <v>534</v>
      </c>
      <c r="D96" t="s">
        <v>22</v>
      </c>
      <c r="E96" t="s">
        <v>538</v>
      </c>
      <c r="F96" t="s">
        <v>551</v>
      </c>
      <c r="G96" t="s">
        <v>409</v>
      </c>
      <c r="H96">
        <v>330.22</v>
      </c>
      <c r="I96">
        <v>7.0000000000000007E-2</v>
      </c>
      <c r="J96">
        <v>21</v>
      </c>
      <c r="K96">
        <v>-51.72</v>
      </c>
      <c r="L96">
        <v>10.91</v>
      </c>
      <c r="M96">
        <v>0.36</v>
      </c>
    </row>
    <row r="97" spans="1:13" x14ac:dyDescent="0.35">
      <c r="A97" t="s">
        <v>428</v>
      </c>
      <c r="B97" s="1">
        <v>43195</v>
      </c>
      <c r="C97" t="s">
        <v>536</v>
      </c>
      <c r="D97" t="s">
        <v>18</v>
      </c>
      <c r="E97" t="s">
        <v>540</v>
      </c>
      <c r="F97" t="s">
        <v>553</v>
      </c>
      <c r="G97" t="s">
        <v>427</v>
      </c>
      <c r="H97">
        <v>210.86</v>
      </c>
      <c r="I97">
        <v>0.04</v>
      </c>
      <c r="J97">
        <v>21</v>
      </c>
      <c r="K97">
        <v>5.5</v>
      </c>
      <c r="L97">
        <v>6.02</v>
      </c>
      <c r="M97">
        <v>0.48</v>
      </c>
    </row>
    <row r="98" spans="1:13" x14ac:dyDescent="0.35">
      <c r="A98" t="s">
        <v>223</v>
      </c>
      <c r="B98" s="1">
        <v>43197</v>
      </c>
      <c r="C98" t="s">
        <v>536</v>
      </c>
      <c r="D98" t="s">
        <v>22</v>
      </c>
      <c r="E98" t="s">
        <v>538</v>
      </c>
      <c r="F98" t="s">
        <v>551</v>
      </c>
      <c r="G98" t="s">
        <v>222</v>
      </c>
      <c r="H98">
        <v>916.05</v>
      </c>
      <c r="I98">
        <v>0.08</v>
      </c>
      <c r="J98">
        <v>39</v>
      </c>
      <c r="K98">
        <v>-21.9</v>
      </c>
      <c r="L98">
        <v>12.98</v>
      </c>
      <c r="M98">
        <v>0.39</v>
      </c>
    </row>
    <row r="99" spans="1:13" x14ac:dyDescent="0.35">
      <c r="A99" t="s">
        <v>267</v>
      </c>
      <c r="B99" s="1">
        <v>43197</v>
      </c>
      <c r="C99" t="s">
        <v>533</v>
      </c>
      <c r="D99" t="s">
        <v>22</v>
      </c>
      <c r="E99" t="s">
        <v>538</v>
      </c>
      <c r="F99" t="s">
        <v>551</v>
      </c>
      <c r="G99" t="s">
        <v>266</v>
      </c>
      <c r="H99">
        <v>99.36</v>
      </c>
      <c r="I99">
        <v>0</v>
      </c>
      <c r="J99">
        <v>18</v>
      </c>
      <c r="K99">
        <v>-51.2</v>
      </c>
      <c r="L99">
        <v>5.68</v>
      </c>
      <c r="M99">
        <v>0.36</v>
      </c>
    </row>
    <row r="100" spans="1:13" x14ac:dyDescent="0.35">
      <c r="A100" t="s">
        <v>267</v>
      </c>
      <c r="B100" s="1">
        <v>43197</v>
      </c>
      <c r="C100" t="s">
        <v>533</v>
      </c>
      <c r="D100" t="s">
        <v>18</v>
      </c>
      <c r="E100" t="s">
        <v>540</v>
      </c>
      <c r="F100" t="s">
        <v>553</v>
      </c>
      <c r="G100" t="s">
        <v>266</v>
      </c>
      <c r="H100">
        <v>510.15</v>
      </c>
      <c r="I100">
        <v>0.04</v>
      </c>
      <c r="J100">
        <v>49</v>
      </c>
      <c r="K100">
        <v>-362.11</v>
      </c>
      <c r="L100">
        <v>12.52</v>
      </c>
      <c r="M100">
        <v>0.56999999999999995</v>
      </c>
    </row>
    <row r="101" spans="1:13" x14ac:dyDescent="0.35">
      <c r="A101" t="s">
        <v>267</v>
      </c>
      <c r="B101" s="1">
        <v>43197</v>
      </c>
      <c r="C101" t="s">
        <v>533</v>
      </c>
      <c r="D101" t="s">
        <v>18</v>
      </c>
      <c r="E101" t="s">
        <v>540</v>
      </c>
      <c r="F101" t="s">
        <v>553</v>
      </c>
      <c r="G101" t="s">
        <v>266</v>
      </c>
      <c r="H101">
        <v>735.09</v>
      </c>
      <c r="I101">
        <v>0.1</v>
      </c>
      <c r="J101">
        <v>27</v>
      </c>
      <c r="K101">
        <v>153.5</v>
      </c>
      <c r="L101">
        <v>7.87</v>
      </c>
      <c r="M101">
        <v>0.54</v>
      </c>
    </row>
    <row r="102" spans="1:13" x14ac:dyDescent="0.35">
      <c r="A102" t="s">
        <v>152</v>
      </c>
      <c r="B102" s="1">
        <v>43198</v>
      </c>
      <c r="C102" t="s">
        <v>534</v>
      </c>
      <c r="D102" t="s">
        <v>22</v>
      </c>
      <c r="E102" t="s">
        <v>538</v>
      </c>
      <c r="F102" t="s">
        <v>551</v>
      </c>
      <c r="G102" t="s">
        <v>153</v>
      </c>
      <c r="H102">
        <v>80.61</v>
      </c>
      <c r="I102">
        <v>0.02</v>
      </c>
      <c r="J102">
        <v>15</v>
      </c>
      <c r="K102">
        <v>-4.72</v>
      </c>
      <c r="L102">
        <v>2.99</v>
      </c>
      <c r="M102">
        <v>0.37</v>
      </c>
    </row>
    <row r="103" spans="1:13" x14ac:dyDescent="0.35">
      <c r="A103" t="s">
        <v>254</v>
      </c>
      <c r="B103" s="1">
        <v>43198</v>
      </c>
      <c r="C103" t="s">
        <v>533</v>
      </c>
      <c r="D103" t="s">
        <v>22</v>
      </c>
      <c r="E103" t="s">
        <v>538</v>
      </c>
      <c r="F103" t="s">
        <v>551</v>
      </c>
      <c r="G103" t="s">
        <v>252</v>
      </c>
      <c r="H103">
        <v>191.43</v>
      </c>
      <c r="I103">
        <v>0.06</v>
      </c>
      <c r="J103">
        <v>20</v>
      </c>
      <c r="K103">
        <v>39.5</v>
      </c>
      <c r="L103">
        <v>2.99</v>
      </c>
      <c r="M103">
        <v>0.39</v>
      </c>
    </row>
    <row r="104" spans="1:13" x14ac:dyDescent="0.35">
      <c r="A104" t="s">
        <v>254</v>
      </c>
      <c r="B104" s="1">
        <v>43198</v>
      </c>
      <c r="C104" t="s">
        <v>533</v>
      </c>
      <c r="D104" t="s">
        <v>25</v>
      </c>
      <c r="E104" t="s">
        <v>538</v>
      </c>
      <c r="F104" t="s">
        <v>539</v>
      </c>
      <c r="G104" t="s">
        <v>252</v>
      </c>
      <c r="H104">
        <v>1234.8499999999999</v>
      </c>
      <c r="I104">
        <v>0.03</v>
      </c>
      <c r="J104">
        <v>34</v>
      </c>
      <c r="K104">
        <v>212.2</v>
      </c>
      <c r="L104">
        <v>8.2200000000000006</v>
      </c>
      <c r="M104">
        <v>0.56999999999999995</v>
      </c>
    </row>
    <row r="105" spans="1:13" x14ac:dyDescent="0.35">
      <c r="A105" t="s">
        <v>58</v>
      </c>
      <c r="B105" s="1">
        <v>43198</v>
      </c>
      <c r="C105" t="s">
        <v>535</v>
      </c>
      <c r="D105" t="s">
        <v>26</v>
      </c>
      <c r="E105" t="s">
        <v>545</v>
      </c>
      <c r="F105" t="s">
        <v>556</v>
      </c>
      <c r="G105" t="s">
        <v>59</v>
      </c>
      <c r="H105">
        <v>17.190000000000001</v>
      </c>
      <c r="I105">
        <v>0</v>
      </c>
      <c r="J105">
        <v>1</v>
      </c>
      <c r="K105">
        <v>-35.340000000000003</v>
      </c>
      <c r="L105">
        <v>1.99</v>
      </c>
      <c r="M105">
        <v>0.49</v>
      </c>
    </row>
    <row r="106" spans="1:13" x14ac:dyDescent="0.35">
      <c r="A106" t="s">
        <v>58</v>
      </c>
      <c r="B106" s="1">
        <v>43198</v>
      </c>
      <c r="C106" t="s">
        <v>535</v>
      </c>
      <c r="D106" t="s">
        <v>12</v>
      </c>
      <c r="E106" t="s">
        <v>538</v>
      </c>
      <c r="F106" t="s">
        <v>554</v>
      </c>
      <c r="G106" t="s">
        <v>59</v>
      </c>
      <c r="H106">
        <v>15.31</v>
      </c>
      <c r="I106">
        <v>0.01</v>
      </c>
      <c r="J106">
        <v>2</v>
      </c>
      <c r="K106">
        <v>-8.15</v>
      </c>
      <c r="L106">
        <v>4.8600000000000003</v>
      </c>
      <c r="M106">
        <v>0.38</v>
      </c>
    </row>
    <row r="107" spans="1:13" x14ac:dyDescent="0.35">
      <c r="A107" t="s">
        <v>58</v>
      </c>
      <c r="B107" s="1">
        <v>43198</v>
      </c>
      <c r="C107" t="s">
        <v>535</v>
      </c>
      <c r="D107" t="s">
        <v>26</v>
      </c>
      <c r="E107" t="s">
        <v>545</v>
      </c>
      <c r="F107" t="s">
        <v>556</v>
      </c>
      <c r="G107" t="s">
        <v>59</v>
      </c>
      <c r="H107">
        <v>2689.48</v>
      </c>
      <c r="I107">
        <v>0.04</v>
      </c>
      <c r="J107">
        <v>27</v>
      </c>
      <c r="K107">
        <v>399.93</v>
      </c>
      <c r="L107">
        <v>19.989999999999998</v>
      </c>
      <c r="M107">
        <v>0.5</v>
      </c>
    </row>
    <row r="108" spans="1:13" x14ac:dyDescent="0.35">
      <c r="A108" t="s">
        <v>418</v>
      </c>
      <c r="B108" s="1">
        <v>43200</v>
      </c>
      <c r="C108" t="s">
        <v>536</v>
      </c>
      <c r="D108" t="s">
        <v>25</v>
      </c>
      <c r="E108" t="s">
        <v>538</v>
      </c>
      <c r="F108" t="s">
        <v>539</v>
      </c>
      <c r="G108" t="s">
        <v>414</v>
      </c>
      <c r="H108">
        <v>2329.4</v>
      </c>
      <c r="I108">
        <v>0.08</v>
      </c>
      <c r="J108">
        <v>37</v>
      </c>
      <c r="K108">
        <v>189.77</v>
      </c>
      <c r="L108">
        <v>6.88</v>
      </c>
      <c r="M108">
        <v>0.73</v>
      </c>
    </row>
    <row r="109" spans="1:13" x14ac:dyDescent="0.35">
      <c r="A109" t="s">
        <v>310</v>
      </c>
      <c r="B109" s="1">
        <v>43200</v>
      </c>
      <c r="C109" t="s">
        <v>536</v>
      </c>
      <c r="D109" t="s">
        <v>22</v>
      </c>
      <c r="E109" t="s">
        <v>538</v>
      </c>
      <c r="F109" t="s">
        <v>551</v>
      </c>
      <c r="G109" t="s">
        <v>309</v>
      </c>
      <c r="H109">
        <v>103.72</v>
      </c>
      <c r="I109">
        <v>0.02</v>
      </c>
      <c r="J109">
        <v>17</v>
      </c>
      <c r="K109">
        <v>-72.06</v>
      </c>
      <c r="L109">
        <v>6.98</v>
      </c>
      <c r="M109">
        <v>0.39</v>
      </c>
    </row>
    <row r="110" spans="1:13" x14ac:dyDescent="0.35">
      <c r="A110" t="s">
        <v>310</v>
      </c>
      <c r="B110" s="1">
        <v>43200</v>
      </c>
      <c r="C110" t="s">
        <v>536</v>
      </c>
      <c r="D110" t="s">
        <v>18</v>
      </c>
      <c r="E110" t="s">
        <v>540</v>
      </c>
      <c r="F110" t="s">
        <v>553</v>
      </c>
      <c r="G110" t="s">
        <v>309</v>
      </c>
      <c r="H110">
        <v>185.15</v>
      </c>
      <c r="I110">
        <v>0.09</v>
      </c>
      <c r="J110">
        <v>4</v>
      </c>
      <c r="K110">
        <v>10.199999999999999</v>
      </c>
      <c r="L110">
        <v>34.200000000000003</v>
      </c>
      <c r="M110">
        <v>0.73</v>
      </c>
    </row>
    <row r="111" spans="1:13" x14ac:dyDescent="0.35">
      <c r="A111" t="s">
        <v>310</v>
      </c>
      <c r="B111" s="1">
        <v>43200</v>
      </c>
      <c r="C111" t="s">
        <v>536</v>
      </c>
      <c r="D111" t="s">
        <v>18</v>
      </c>
      <c r="E111" t="s">
        <v>540</v>
      </c>
      <c r="F111" t="s">
        <v>553</v>
      </c>
      <c r="G111" t="s">
        <v>309</v>
      </c>
      <c r="H111">
        <v>308.64</v>
      </c>
      <c r="I111">
        <v>0.03</v>
      </c>
      <c r="J111">
        <v>15</v>
      </c>
      <c r="K111">
        <v>91.08</v>
      </c>
      <c r="L111">
        <v>6.38</v>
      </c>
      <c r="M111">
        <v>0.56000000000000005</v>
      </c>
    </row>
    <row r="112" spans="1:13" x14ac:dyDescent="0.35">
      <c r="A112" t="s">
        <v>338</v>
      </c>
      <c r="B112" s="1">
        <v>43201</v>
      </c>
      <c r="C112" t="s">
        <v>534</v>
      </c>
      <c r="D112" t="s">
        <v>22</v>
      </c>
      <c r="E112" t="s">
        <v>538</v>
      </c>
      <c r="F112" t="s">
        <v>551</v>
      </c>
      <c r="G112" t="s">
        <v>337</v>
      </c>
      <c r="H112">
        <v>58.98</v>
      </c>
      <c r="I112">
        <v>0</v>
      </c>
      <c r="J112">
        <v>9</v>
      </c>
      <c r="K112">
        <v>-17.79</v>
      </c>
      <c r="L112">
        <v>4.97</v>
      </c>
      <c r="M112">
        <v>0.35</v>
      </c>
    </row>
    <row r="113" spans="1:13" x14ac:dyDescent="0.35">
      <c r="A113" t="s">
        <v>308</v>
      </c>
      <c r="B113" s="1">
        <v>43202</v>
      </c>
      <c r="C113" t="s">
        <v>537</v>
      </c>
      <c r="D113" t="s">
        <v>26</v>
      </c>
      <c r="E113" t="s">
        <v>545</v>
      </c>
      <c r="F113" t="s">
        <v>556</v>
      </c>
      <c r="G113" t="s">
        <v>307</v>
      </c>
      <c r="H113">
        <v>54.8</v>
      </c>
      <c r="I113">
        <v>0</v>
      </c>
      <c r="J113">
        <v>5</v>
      </c>
      <c r="K113">
        <v>-15.3</v>
      </c>
      <c r="L113">
        <v>1.99</v>
      </c>
      <c r="M113">
        <v>0.43</v>
      </c>
    </row>
    <row r="114" spans="1:13" x14ac:dyDescent="0.35">
      <c r="A114" t="s">
        <v>308</v>
      </c>
      <c r="B114" s="1">
        <v>43202</v>
      </c>
      <c r="C114" t="s">
        <v>537</v>
      </c>
      <c r="D114" t="s">
        <v>10</v>
      </c>
      <c r="E114" t="s">
        <v>538</v>
      </c>
      <c r="F114" t="s">
        <v>544</v>
      </c>
      <c r="G114" t="s">
        <v>307</v>
      </c>
      <c r="H114">
        <v>1038.19</v>
      </c>
      <c r="I114">
        <v>7.0000000000000007E-2</v>
      </c>
      <c r="J114">
        <v>40</v>
      </c>
      <c r="K114">
        <v>230.69</v>
      </c>
      <c r="L114">
        <v>4.08</v>
      </c>
      <c r="M114">
        <v>0.56999999999999995</v>
      </c>
    </row>
    <row r="115" spans="1:13" x14ac:dyDescent="0.35">
      <c r="A115" t="s">
        <v>194</v>
      </c>
      <c r="B115" s="1">
        <v>43202</v>
      </c>
      <c r="C115" t="s">
        <v>535</v>
      </c>
      <c r="D115" t="s">
        <v>22</v>
      </c>
      <c r="E115" t="s">
        <v>538</v>
      </c>
      <c r="F115" t="s">
        <v>551</v>
      </c>
      <c r="G115" t="s">
        <v>195</v>
      </c>
      <c r="H115">
        <v>39.44</v>
      </c>
      <c r="I115">
        <v>0</v>
      </c>
      <c r="J115">
        <v>5</v>
      </c>
      <c r="K115">
        <v>-0.94</v>
      </c>
      <c r="L115">
        <v>2.99</v>
      </c>
      <c r="M115">
        <v>0.35</v>
      </c>
    </row>
    <row r="116" spans="1:13" x14ac:dyDescent="0.35">
      <c r="A116" t="s">
        <v>194</v>
      </c>
      <c r="B116" s="1">
        <v>43202</v>
      </c>
      <c r="C116" t="s">
        <v>535</v>
      </c>
      <c r="D116" t="s">
        <v>18</v>
      </c>
      <c r="E116" t="s">
        <v>540</v>
      </c>
      <c r="F116" t="s">
        <v>553</v>
      </c>
      <c r="G116" t="s">
        <v>195</v>
      </c>
      <c r="H116">
        <v>11.01</v>
      </c>
      <c r="I116">
        <v>0.09</v>
      </c>
      <c r="J116">
        <v>3</v>
      </c>
      <c r="K116">
        <v>-1.42</v>
      </c>
      <c r="L116">
        <v>5.33</v>
      </c>
      <c r="M116">
        <v>0.43</v>
      </c>
    </row>
    <row r="117" spans="1:13" x14ac:dyDescent="0.35">
      <c r="A117" t="s">
        <v>226</v>
      </c>
      <c r="B117" s="1">
        <v>43202</v>
      </c>
      <c r="C117" t="s">
        <v>535</v>
      </c>
      <c r="D117" t="s">
        <v>26</v>
      </c>
      <c r="E117" t="s">
        <v>545</v>
      </c>
      <c r="F117" t="s">
        <v>556</v>
      </c>
      <c r="G117" t="s">
        <v>224</v>
      </c>
      <c r="H117">
        <v>292.95999999999998</v>
      </c>
      <c r="I117">
        <v>0.09</v>
      </c>
      <c r="J117">
        <v>3</v>
      </c>
      <c r="K117">
        <v>-322.95</v>
      </c>
      <c r="L117">
        <v>19.989999999999998</v>
      </c>
      <c r="M117">
        <v>0.52</v>
      </c>
    </row>
    <row r="118" spans="1:13" x14ac:dyDescent="0.35">
      <c r="A118" t="s">
        <v>226</v>
      </c>
      <c r="B118" s="1">
        <v>43202</v>
      </c>
      <c r="C118" t="s">
        <v>535</v>
      </c>
      <c r="D118" t="s">
        <v>11</v>
      </c>
      <c r="E118" t="s">
        <v>545</v>
      </c>
      <c r="F118" t="s">
        <v>552</v>
      </c>
      <c r="G118" t="s">
        <v>224</v>
      </c>
      <c r="H118">
        <v>2206.991</v>
      </c>
      <c r="I118">
        <v>0.04</v>
      </c>
      <c r="J118">
        <v>13</v>
      </c>
      <c r="K118">
        <v>-1.63</v>
      </c>
      <c r="L118">
        <v>5.26</v>
      </c>
      <c r="M118">
        <v>0.56000000000000005</v>
      </c>
    </row>
    <row r="119" spans="1:13" x14ac:dyDescent="0.35">
      <c r="A119" t="s">
        <v>477</v>
      </c>
      <c r="B119" s="1">
        <v>43221</v>
      </c>
      <c r="C119" t="s">
        <v>535</v>
      </c>
      <c r="D119" t="s">
        <v>12</v>
      </c>
      <c r="E119" t="s">
        <v>538</v>
      </c>
      <c r="F119" t="s">
        <v>554</v>
      </c>
      <c r="G119" t="s">
        <v>475</v>
      </c>
      <c r="H119">
        <v>154.44</v>
      </c>
      <c r="I119">
        <v>0.06</v>
      </c>
      <c r="J119">
        <v>33</v>
      </c>
      <c r="K119">
        <v>54.62</v>
      </c>
      <c r="L119">
        <v>0.88</v>
      </c>
      <c r="M119">
        <v>0.39</v>
      </c>
    </row>
    <row r="120" spans="1:13" x14ac:dyDescent="0.35">
      <c r="A120" t="s">
        <v>472</v>
      </c>
      <c r="B120" s="1">
        <v>43221</v>
      </c>
      <c r="C120" t="s">
        <v>537</v>
      </c>
      <c r="D120" t="s">
        <v>18</v>
      </c>
      <c r="E120" t="s">
        <v>540</v>
      </c>
      <c r="F120" t="s">
        <v>553</v>
      </c>
      <c r="G120" t="s">
        <v>473</v>
      </c>
      <c r="H120">
        <v>4201.08</v>
      </c>
      <c r="I120">
        <v>0.01</v>
      </c>
      <c r="J120">
        <v>21</v>
      </c>
      <c r="K120">
        <v>1162.76</v>
      </c>
      <c r="L120">
        <v>11.54</v>
      </c>
      <c r="M120">
        <v>0.59</v>
      </c>
    </row>
    <row r="121" spans="1:13" x14ac:dyDescent="0.35">
      <c r="A121" t="s">
        <v>472</v>
      </c>
      <c r="B121" s="1">
        <v>43221</v>
      </c>
      <c r="C121" t="s">
        <v>537</v>
      </c>
      <c r="D121" t="s">
        <v>18</v>
      </c>
      <c r="E121" t="s">
        <v>540</v>
      </c>
      <c r="F121" t="s">
        <v>553</v>
      </c>
      <c r="G121" t="s">
        <v>473</v>
      </c>
      <c r="H121">
        <v>8958.4599999999991</v>
      </c>
      <c r="I121">
        <v>0.02</v>
      </c>
      <c r="J121">
        <v>41</v>
      </c>
      <c r="K121">
        <v>2593.14</v>
      </c>
      <c r="L121">
        <v>21.21</v>
      </c>
      <c r="M121">
        <v>0.59</v>
      </c>
    </row>
    <row r="122" spans="1:13" x14ac:dyDescent="0.35">
      <c r="A122" t="s">
        <v>472</v>
      </c>
      <c r="B122" s="1">
        <v>43221</v>
      </c>
      <c r="C122" t="s">
        <v>537</v>
      </c>
      <c r="D122" t="s">
        <v>13</v>
      </c>
      <c r="E122" t="s">
        <v>545</v>
      </c>
      <c r="F122" t="s">
        <v>549</v>
      </c>
      <c r="G122" t="s">
        <v>473</v>
      </c>
      <c r="H122">
        <v>4913.7</v>
      </c>
      <c r="I122">
        <v>0</v>
      </c>
      <c r="J122">
        <v>33</v>
      </c>
      <c r="K122">
        <v>1054.93</v>
      </c>
      <c r="L122">
        <v>17.850000000000001</v>
      </c>
      <c r="M122">
        <v>0.56000000000000005</v>
      </c>
    </row>
    <row r="123" spans="1:13" x14ac:dyDescent="0.35">
      <c r="A123" t="s">
        <v>251</v>
      </c>
      <c r="B123" s="1">
        <v>43221</v>
      </c>
      <c r="C123" t="s">
        <v>535</v>
      </c>
      <c r="D123" t="s">
        <v>18</v>
      </c>
      <c r="E123" t="s">
        <v>540</v>
      </c>
      <c r="F123" t="s">
        <v>553</v>
      </c>
      <c r="G123" t="s">
        <v>252</v>
      </c>
      <c r="H123">
        <v>120.53</v>
      </c>
      <c r="I123">
        <v>0.1</v>
      </c>
      <c r="J123">
        <v>10</v>
      </c>
      <c r="K123">
        <v>49.26</v>
      </c>
      <c r="L123">
        <v>2.85</v>
      </c>
      <c r="M123">
        <v>0.55000000000000004</v>
      </c>
    </row>
    <row r="124" spans="1:13" x14ac:dyDescent="0.35">
      <c r="A124" t="s">
        <v>107</v>
      </c>
      <c r="B124" s="1">
        <v>43222</v>
      </c>
      <c r="C124" t="s">
        <v>534</v>
      </c>
      <c r="D124" t="s">
        <v>22</v>
      </c>
      <c r="E124" t="s">
        <v>538</v>
      </c>
      <c r="F124" t="s">
        <v>551</v>
      </c>
      <c r="G124" t="s">
        <v>105</v>
      </c>
      <c r="H124">
        <v>438.47</v>
      </c>
      <c r="I124">
        <v>0.02</v>
      </c>
      <c r="J124">
        <v>14</v>
      </c>
      <c r="K124">
        <v>157.88999999999999</v>
      </c>
      <c r="L124">
        <v>2.99</v>
      </c>
      <c r="M124">
        <v>0.35</v>
      </c>
    </row>
    <row r="125" spans="1:13" x14ac:dyDescent="0.35">
      <c r="A125" t="s">
        <v>284</v>
      </c>
      <c r="B125" s="1">
        <v>43222</v>
      </c>
      <c r="C125" t="s">
        <v>535</v>
      </c>
      <c r="D125" t="s">
        <v>12</v>
      </c>
      <c r="E125" t="s">
        <v>538</v>
      </c>
      <c r="F125" t="s">
        <v>554</v>
      </c>
      <c r="G125" t="s">
        <v>285</v>
      </c>
      <c r="H125">
        <v>112.57</v>
      </c>
      <c r="I125">
        <v>0.08</v>
      </c>
      <c r="J125">
        <v>17</v>
      </c>
      <c r="K125">
        <v>-28.53</v>
      </c>
      <c r="L125">
        <v>5.14</v>
      </c>
      <c r="M125">
        <v>0.37</v>
      </c>
    </row>
    <row r="126" spans="1:13" x14ac:dyDescent="0.35">
      <c r="A126" t="s">
        <v>284</v>
      </c>
      <c r="B126" s="1">
        <v>43222</v>
      </c>
      <c r="C126" t="s">
        <v>535</v>
      </c>
      <c r="D126" t="s">
        <v>25</v>
      </c>
      <c r="E126" t="s">
        <v>538</v>
      </c>
      <c r="F126" t="s">
        <v>539</v>
      </c>
      <c r="G126" t="s">
        <v>285</v>
      </c>
      <c r="H126">
        <v>1562.69</v>
      </c>
      <c r="I126">
        <v>0</v>
      </c>
      <c r="J126">
        <v>43</v>
      </c>
      <c r="K126">
        <v>287.74</v>
      </c>
      <c r="L126">
        <v>8.2200000000000006</v>
      </c>
      <c r="M126">
        <v>0.56999999999999995</v>
      </c>
    </row>
    <row r="127" spans="1:13" x14ac:dyDescent="0.35">
      <c r="A127" t="s">
        <v>165</v>
      </c>
      <c r="B127" s="1">
        <v>43222</v>
      </c>
      <c r="C127" t="s">
        <v>534</v>
      </c>
      <c r="D127" t="s">
        <v>18</v>
      </c>
      <c r="E127" t="s">
        <v>540</v>
      </c>
      <c r="F127" t="s">
        <v>553</v>
      </c>
      <c r="G127" t="s">
        <v>164</v>
      </c>
      <c r="H127">
        <v>75.19</v>
      </c>
      <c r="I127">
        <v>0.06</v>
      </c>
      <c r="J127">
        <v>22</v>
      </c>
      <c r="K127">
        <v>-59.12</v>
      </c>
      <c r="L127">
        <v>3.97</v>
      </c>
      <c r="M127">
        <v>0.57999999999999996</v>
      </c>
    </row>
    <row r="128" spans="1:13" x14ac:dyDescent="0.35">
      <c r="A128" t="s">
        <v>165</v>
      </c>
      <c r="B128" s="1">
        <v>43222</v>
      </c>
      <c r="C128" t="s">
        <v>534</v>
      </c>
      <c r="D128" t="s">
        <v>16</v>
      </c>
      <c r="E128" t="s">
        <v>540</v>
      </c>
      <c r="F128" t="s">
        <v>542</v>
      </c>
      <c r="G128" t="s">
        <v>181</v>
      </c>
      <c r="H128">
        <v>3028.86</v>
      </c>
      <c r="I128">
        <v>0.04</v>
      </c>
      <c r="J128">
        <v>40</v>
      </c>
      <c r="K128">
        <v>-2595.65</v>
      </c>
      <c r="L128">
        <v>69</v>
      </c>
      <c r="M128">
        <v>0.68</v>
      </c>
    </row>
    <row r="129" spans="1:13" x14ac:dyDescent="0.35">
      <c r="A129" t="s">
        <v>81</v>
      </c>
      <c r="B129" s="1">
        <v>43223</v>
      </c>
      <c r="C129" t="s">
        <v>536</v>
      </c>
      <c r="D129" t="s">
        <v>12</v>
      </c>
      <c r="E129" t="s">
        <v>538</v>
      </c>
      <c r="F129" t="s">
        <v>554</v>
      </c>
      <c r="G129" t="s">
        <v>82</v>
      </c>
      <c r="H129">
        <v>186.67</v>
      </c>
      <c r="I129">
        <v>0.02</v>
      </c>
      <c r="J129">
        <v>9</v>
      </c>
      <c r="K129">
        <v>2.06</v>
      </c>
      <c r="L129">
        <v>8.68</v>
      </c>
      <c r="M129">
        <v>0.37</v>
      </c>
    </row>
    <row r="130" spans="1:13" x14ac:dyDescent="0.35">
      <c r="A130" t="s">
        <v>81</v>
      </c>
      <c r="B130" s="1">
        <v>43223</v>
      </c>
      <c r="C130" t="s">
        <v>536</v>
      </c>
      <c r="D130" t="s">
        <v>26</v>
      </c>
      <c r="E130" t="s">
        <v>545</v>
      </c>
      <c r="F130" t="s">
        <v>556</v>
      </c>
      <c r="G130" t="s">
        <v>82</v>
      </c>
      <c r="H130">
        <v>185.79</v>
      </c>
      <c r="I130">
        <v>0.02</v>
      </c>
      <c r="J130">
        <v>5</v>
      </c>
      <c r="K130">
        <v>-159.68</v>
      </c>
      <c r="L130">
        <v>7.53</v>
      </c>
      <c r="M130">
        <v>0.76</v>
      </c>
    </row>
    <row r="131" spans="1:13" x14ac:dyDescent="0.35">
      <c r="A131" t="s">
        <v>81</v>
      </c>
      <c r="B131" s="1">
        <v>43223</v>
      </c>
      <c r="C131" t="s">
        <v>536</v>
      </c>
      <c r="D131" t="s">
        <v>18</v>
      </c>
      <c r="E131" t="s">
        <v>540</v>
      </c>
      <c r="F131" t="s">
        <v>553</v>
      </c>
      <c r="G131" t="s">
        <v>82</v>
      </c>
      <c r="H131">
        <v>196.41</v>
      </c>
      <c r="I131">
        <v>0.01</v>
      </c>
      <c r="J131">
        <v>9</v>
      </c>
      <c r="K131">
        <v>27.91</v>
      </c>
      <c r="L131">
        <v>11.17</v>
      </c>
      <c r="M131">
        <v>0.6</v>
      </c>
    </row>
    <row r="132" spans="1:13" x14ac:dyDescent="0.35">
      <c r="A132" t="s">
        <v>81</v>
      </c>
      <c r="B132" s="1">
        <v>43223</v>
      </c>
      <c r="C132" t="s">
        <v>536</v>
      </c>
      <c r="D132" t="s">
        <v>11</v>
      </c>
      <c r="E132" t="s">
        <v>545</v>
      </c>
      <c r="F132" t="s">
        <v>552</v>
      </c>
      <c r="G132" t="s">
        <v>83</v>
      </c>
      <c r="H132">
        <v>2051.8235</v>
      </c>
      <c r="I132">
        <v>0.01</v>
      </c>
      <c r="J132">
        <v>36</v>
      </c>
      <c r="K132">
        <v>350.36</v>
      </c>
      <c r="L132">
        <v>8.8000000000000007</v>
      </c>
      <c r="M132">
        <v>0.57999999999999996</v>
      </c>
    </row>
    <row r="133" spans="1:13" x14ac:dyDescent="0.35">
      <c r="A133" t="s">
        <v>265</v>
      </c>
      <c r="B133" s="1">
        <v>43224</v>
      </c>
      <c r="C133" t="s">
        <v>534</v>
      </c>
      <c r="D133" t="s">
        <v>22</v>
      </c>
      <c r="E133" t="s">
        <v>538</v>
      </c>
      <c r="F133" t="s">
        <v>551</v>
      </c>
      <c r="G133" t="s">
        <v>264</v>
      </c>
      <c r="H133">
        <v>87.31</v>
      </c>
      <c r="I133">
        <v>0.05</v>
      </c>
      <c r="J133">
        <v>43</v>
      </c>
      <c r="K133">
        <v>-15.09</v>
      </c>
      <c r="L133">
        <v>1.49</v>
      </c>
      <c r="M133">
        <v>0.36</v>
      </c>
    </row>
    <row r="134" spans="1:13" x14ac:dyDescent="0.35">
      <c r="A134" t="s">
        <v>232</v>
      </c>
      <c r="B134" s="1">
        <v>43224</v>
      </c>
      <c r="C134" t="s">
        <v>535</v>
      </c>
      <c r="D134" t="s">
        <v>22</v>
      </c>
      <c r="E134" t="s">
        <v>538</v>
      </c>
      <c r="F134" t="s">
        <v>551</v>
      </c>
      <c r="G134" t="s">
        <v>231</v>
      </c>
      <c r="H134">
        <v>564.98</v>
      </c>
      <c r="I134">
        <v>0.1</v>
      </c>
      <c r="J134">
        <v>26</v>
      </c>
      <c r="K134">
        <v>-107.51</v>
      </c>
      <c r="L134">
        <v>15.1</v>
      </c>
      <c r="M134">
        <v>0.38</v>
      </c>
    </row>
    <row r="135" spans="1:13" x14ac:dyDescent="0.35">
      <c r="A135" t="s">
        <v>232</v>
      </c>
      <c r="B135" s="1">
        <v>43224</v>
      </c>
      <c r="C135" t="s">
        <v>535</v>
      </c>
      <c r="D135" t="s">
        <v>18</v>
      </c>
      <c r="E135" t="s">
        <v>540</v>
      </c>
      <c r="F135" t="s">
        <v>553</v>
      </c>
      <c r="G135" t="s">
        <v>231</v>
      </c>
      <c r="H135">
        <v>129.47999999999999</v>
      </c>
      <c r="I135">
        <v>0.04</v>
      </c>
      <c r="J135">
        <v>18</v>
      </c>
      <c r="K135">
        <v>46.01</v>
      </c>
      <c r="L135">
        <v>2.83</v>
      </c>
      <c r="M135">
        <v>0.37</v>
      </c>
    </row>
    <row r="136" spans="1:13" x14ac:dyDescent="0.35">
      <c r="A136" t="s">
        <v>421</v>
      </c>
      <c r="B136" s="1">
        <v>43225</v>
      </c>
      <c r="C136" t="s">
        <v>533</v>
      </c>
      <c r="D136" t="s">
        <v>15</v>
      </c>
      <c r="E136" t="s">
        <v>538</v>
      </c>
      <c r="F136" t="s">
        <v>550</v>
      </c>
      <c r="G136" t="s">
        <v>420</v>
      </c>
      <c r="H136">
        <v>5567.79</v>
      </c>
      <c r="I136">
        <v>0.04</v>
      </c>
      <c r="J136">
        <v>47</v>
      </c>
      <c r="K136">
        <v>1726.66</v>
      </c>
      <c r="L136">
        <v>3.99</v>
      </c>
      <c r="M136">
        <v>0.6</v>
      </c>
    </row>
    <row r="137" spans="1:13" x14ac:dyDescent="0.35">
      <c r="A137" t="s">
        <v>421</v>
      </c>
      <c r="B137" s="1">
        <v>43225</v>
      </c>
      <c r="C137" t="s">
        <v>533</v>
      </c>
      <c r="D137" t="s">
        <v>11</v>
      </c>
      <c r="E137" t="s">
        <v>545</v>
      </c>
      <c r="F137" t="s">
        <v>552</v>
      </c>
      <c r="G137" t="s">
        <v>420</v>
      </c>
      <c r="H137">
        <v>503.29349999999999</v>
      </c>
      <c r="I137">
        <v>0.02</v>
      </c>
      <c r="J137">
        <v>10</v>
      </c>
      <c r="K137">
        <v>-222.82</v>
      </c>
      <c r="L137">
        <v>5</v>
      </c>
      <c r="M137">
        <v>0.83</v>
      </c>
    </row>
    <row r="138" spans="1:13" x14ac:dyDescent="0.35">
      <c r="A138" t="s">
        <v>421</v>
      </c>
      <c r="B138" s="1">
        <v>43225</v>
      </c>
      <c r="C138" t="s">
        <v>533</v>
      </c>
      <c r="D138" t="s">
        <v>18</v>
      </c>
      <c r="E138" t="s">
        <v>540</v>
      </c>
      <c r="F138" t="s">
        <v>553</v>
      </c>
      <c r="G138" t="s">
        <v>420</v>
      </c>
      <c r="H138">
        <v>796.03</v>
      </c>
      <c r="I138">
        <v>0.05</v>
      </c>
      <c r="J138">
        <v>32</v>
      </c>
      <c r="K138">
        <v>-133.71</v>
      </c>
      <c r="L138">
        <v>15.68</v>
      </c>
      <c r="M138">
        <v>0.62</v>
      </c>
    </row>
    <row r="139" spans="1:13" x14ac:dyDescent="0.35">
      <c r="A139" t="s">
        <v>147</v>
      </c>
      <c r="B139" s="1">
        <v>43226</v>
      </c>
      <c r="C139" t="s">
        <v>535</v>
      </c>
      <c r="D139" t="s">
        <v>26</v>
      </c>
      <c r="E139" t="s">
        <v>545</v>
      </c>
      <c r="F139" t="s">
        <v>556</v>
      </c>
      <c r="G139" t="s">
        <v>143</v>
      </c>
      <c r="H139">
        <v>333.3</v>
      </c>
      <c r="I139">
        <v>0.03</v>
      </c>
      <c r="J139">
        <v>15</v>
      </c>
      <c r="K139">
        <v>71.040000000000006</v>
      </c>
      <c r="L139">
        <v>1.99</v>
      </c>
      <c r="M139">
        <v>0.43</v>
      </c>
    </row>
    <row r="140" spans="1:13" x14ac:dyDescent="0.35">
      <c r="A140" t="s">
        <v>518</v>
      </c>
      <c r="B140" s="1">
        <v>43226</v>
      </c>
      <c r="C140" t="s">
        <v>536</v>
      </c>
      <c r="D140" t="s">
        <v>22</v>
      </c>
      <c r="E140" t="s">
        <v>538</v>
      </c>
      <c r="F140" t="s">
        <v>551</v>
      </c>
      <c r="G140" t="s">
        <v>517</v>
      </c>
      <c r="H140">
        <v>63.34</v>
      </c>
      <c r="I140">
        <v>0.03</v>
      </c>
      <c r="J140">
        <v>17</v>
      </c>
      <c r="K140">
        <v>-76.02</v>
      </c>
      <c r="L140">
        <v>6.27</v>
      </c>
      <c r="M140">
        <v>0.4</v>
      </c>
    </row>
    <row r="141" spans="1:13" x14ac:dyDescent="0.35">
      <c r="A141" t="s">
        <v>518</v>
      </c>
      <c r="B141" s="1">
        <v>43226</v>
      </c>
      <c r="C141" t="s">
        <v>536</v>
      </c>
      <c r="D141" t="s">
        <v>12</v>
      </c>
      <c r="E141" t="s">
        <v>538</v>
      </c>
      <c r="F141" t="s">
        <v>554</v>
      </c>
      <c r="G141" t="s">
        <v>517</v>
      </c>
      <c r="H141">
        <v>151.35</v>
      </c>
      <c r="I141">
        <v>7.0000000000000007E-2</v>
      </c>
      <c r="J141">
        <v>42</v>
      </c>
      <c r="K141">
        <v>8.33</v>
      </c>
      <c r="L141">
        <v>1.93</v>
      </c>
      <c r="M141">
        <v>0.35</v>
      </c>
    </row>
    <row r="142" spans="1:13" x14ac:dyDescent="0.35">
      <c r="A142" t="s">
        <v>415</v>
      </c>
      <c r="B142" s="1">
        <v>43227</v>
      </c>
      <c r="C142" t="s">
        <v>534</v>
      </c>
      <c r="D142" t="s">
        <v>9</v>
      </c>
      <c r="E142" t="s">
        <v>538</v>
      </c>
      <c r="F142" t="s">
        <v>548</v>
      </c>
      <c r="G142" t="s">
        <v>414</v>
      </c>
      <c r="H142">
        <v>325.97000000000003</v>
      </c>
      <c r="I142">
        <v>0.02</v>
      </c>
      <c r="J142">
        <v>46</v>
      </c>
      <c r="K142">
        <v>-255.22</v>
      </c>
      <c r="L142">
        <v>8.3699999999999992</v>
      </c>
      <c r="M142">
        <v>0.57999999999999996</v>
      </c>
    </row>
    <row r="143" spans="1:13" x14ac:dyDescent="0.35">
      <c r="A143" t="s">
        <v>415</v>
      </c>
      <c r="B143" s="1">
        <v>43227</v>
      </c>
      <c r="C143" t="s">
        <v>534</v>
      </c>
      <c r="D143" t="s">
        <v>22</v>
      </c>
      <c r="E143" t="s">
        <v>538</v>
      </c>
      <c r="F143" t="s">
        <v>551</v>
      </c>
      <c r="G143" t="s">
        <v>414</v>
      </c>
      <c r="H143">
        <v>49.65</v>
      </c>
      <c r="I143">
        <v>0.02</v>
      </c>
      <c r="J143">
        <v>10</v>
      </c>
      <c r="K143">
        <v>8.27</v>
      </c>
      <c r="L143">
        <v>1.49</v>
      </c>
      <c r="M143">
        <v>0.35</v>
      </c>
    </row>
    <row r="144" spans="1:13" x14ac:dyDescent="0.35">
      <c r="A144" t="s">
        <v>286</v>
      </c>
      <c r="B144" s="1">
        <v>43227</v>
      </c>
      <c r="C144" t="s">
        <v>536</v>
      </c>
      <c r="D144" t="s">
        <v>14</v>
      </c>
      <c r="E144" t="s">
        <v>538</v>
      </c>
      <c r="F144" t="s">
        <v>543</v>
      </c>
      <c r="G144" t="s">
        <v>285</v>
      </c>
      <c r="H144">
        <v>12.11</v>
      </c>
      <c r="I144">
        <v>0.02</v>
      </c>
      <c r="J144">
        <v>3</v>
      </c>
      <c r="K144">
        <v>-0.98</v>
      </c>
      <c r="L144">
        <v>0.5</v>
      </c>
      <c r="M144">
        <v>0.38</v>
      </c>
    </row>
    <row r="145" spans="1:13" x14ac:dyDescent="0.35">
      <c r="A145" t="s">
        <v>134</v>
      </c>
      <c r="B145" s="1">
        <v>43228</v>
      </c>
      <c r="C145" t="s">
        <v>533</v>
      </c>
      <c r="D145" t="s">
        <v>22</v>
      </c>
      <c r="E145" t="s">
        <v>538</v>
      </c>
      <c r="F145" t="s">
        <v>551</v>
      </c>
      <c r="G145" t="s">
        <v>131</v>
      </c>
      <c r="H145">
        <v>195.51</v>
      </c>
      <c r="I145">
        <v>0.03</v>
      </c>
      <c r="J145">
        <v>26</v>
      </c>
      <c r="K145">
        <v>-105.72</v>
      </c>
      <c r="L145">
        <v>7.72</v>
      </c>
      <c r="M145">
        <v>0.38</v>
      </c>
    </row>
    <row r="146" spans="1:13" x14ac:dyDescent="0.35">
      <c r="A146" t="s">
        <v>134</v>
      </c>
      <c r="B146" s="1">
        <v>43228</v>
      </c>
      <c r="C146" t="s">
        <v>533</v>
      </c>
      <c r="D146" t="s">
        <v>18</v>
      </c>
      <c r="E146" t="s">
        <v>540</v>
      </c>
      <c r="F146" t="s">
        <v>553</v>
      </c>
      <c r="G146" t="s">
        <v>131</v>
      </c>
      <c r="H146">
        <v>377.13</v>
      </c>
      <c r="I146">
        <v>0.02</v>
      </c>
      <c r="J146">
        <v>38</v>
      </c>
      <c r="K146">
        <v>-10.29</v>
      </c>
      <c r="L146">
        <v>6.02</v>
      </c>
      <c r="M146">
        <v>0.48</v>
      </c>
    </row>
    <row r="147" spans="1:13" x14ac:dyDescent="0.35">
      <c r="A147" t="s">
        <v>132</v>
      </c>
      <c r="B147" s="1">
        <v>43228</v>
      </c>
      <c r="C147" t="s">
        <v>533</v>
      </c>
      <c r="D147" t="s">
        <v>13</v>
      </c>
      <c r="E147" t="s">
        <v>545</v>
      </c>
      <c r="F147" t="s">
        <v>549</v>
      </c>
      <c r="G147" t="s">
        <v>131</v>
      </c>
      <c r="H147">
        <v>1255.48</v>
      </c>
      <c r="I147">
        <v>0.06</v>
      </c>
      <c r="J147">
        <v>11</v>
      </c>
      <c r="K147">
        <v>-292.64999999999998</v>
      </c>
      <c r="L147">
        <v>56.14</v>
      </c>
      <c r="M147">
        <v>0.4</v>
      </c>
    </row>
    <row r="148" spans="1:13" x14ac:dyDescent="0.35">
      <c r="A148" t="s">
        <v>132</v>
      </c>
      <c r="B148" s="1">
        <v>43228</v>
      </c>
      <c r="C148" t="s">
        <v>533</v>
      </c>
      <c r="D148" t="s">
        <v>25</v>
      </c>
      <c r="E148" t="s">
        <v>538</v>
      </c>
      <c r="F148" t="s">
        <v>539</v>
      </c>
      <c r="G148" t="s">
        <v>131</v>
      </c>
      <c r="H148">
        <v>411.56</v>
      </c>
      <c r="I148">
        <v>0.09</v>
      </c>
      <c r="J148">
        <v>46</v>
      </c>
      <c r="K148">
        <v>-188.02</v>
      </c>
      <c r="L148">
        <v>7.28</v>
      </c>
      <c r="M148">
        <v>0.56999999999999995</v>
      </c>
    </row>
    <row r="149" spans="1:13" x14ac:dyDescent="0.35">
      <c r="A149" t="s">
        <v>113</v>
      </c>
      <c r="B149" s="1">
        <v>43228</v>
      </c>
      <c r="C149" t="s">
        <v>536</v>
      </c>
      <c r="D149" t="s">
        <v>12</v>
      </c>
      <c r="E149" t="s">
        <v>538</v>
      </c>
      <c r="F149" t="s">
        <v>554</v>
      </c>
      <c r="G149" t="s">
        <v>112</v>
      </c>
      <c r="H149">
        <v>128.21</v>
      </c>
      <c r="I149">
        <v>0.05</v>
      </c>
      <c r="J149">
        <v>19</v>
      </c>
      <c r="K149">
        <v>-55.13</v>
      </c>
      <c r="L149">
        <v>6.57</v>
      </c>
      <c r="M149">
        <v>0.37</v>
      </c>
    </row>
    <row r="150" spans="1:13" x14ac:dyDescent="0.35">
      <c r="A150" t="s">
        <v>352</v>
      </c>
      <c r="B150" s="1">
        <v>43228</v>
      </c>
      <c r="C150" t="s">
        <v>537</v>
      </c>
      <c r="D150" t="s">
        <v>12</v>
      </c>
      <c r="E150" t="s">
        <v>538</v>
      </c>
      <c r="F150" t="s">
        <v>554</v>
      </c>
      <c r="G150" t="s">
        <v>351</v>
      </c>
      <c r="H150">
        <v>1567.51</v>
      </c>
      <c r="I150">
        <v>0.01</v>
      </c>
      <c r="J150">
        <v>40</v>
      </c>
      <c r="K150">
        <v>711.74</v>
      </c>
      <c r="L150">
        <v>5.08</v>
      </c>
      <c r="M150">
        <v>0.38</v>
      </c>
    </row>
    <row r="151" spans="1:13" x14ac:dyDescent="0.35">
      <c r="A151" t="s">
        <v>352</v>
      </c>
      <c r="B151" s="1">
        <v>43228</v>
      </c>
      <c r="C151" t="s">
        <v>537</v>
      </c>
      <c r="D151" t="s">
        <v>25</v>
      </c>
      <c r="E151" t="s">
        <v>538</v>
      </c>
      <c r="F151" t="s">
        <v>539</v>
      </c>
      <c r="G151" t="s">
        <v>351</v>
      </c>
      <c r="H151">
        <v>1914.65</v>
      </c>
      <c r="I151">
        <v>0.01</v>
      </c>
      <c r="J151">
        <v>17</v>
      </c>
      <c r="K151">
        <v>73.45</v>
      </c>
      <c r="L151">
        <v>8.64</v>
      </c>
      <c r="M151">
        <v>0.78</v>
      </c>
    </row>
    <row r="152" spans="1:13" x14ac:dyDescent="0.35">
      <c r="A152" t="s">
        <v>459</v>
      </c>
      <c r="B152" s="1">
        <v>43228</v>
      </c>
      <c r="C152" t="s">
        <v>534</v>
      </c>
      <c r="D152" t="s">
        <v>10</v>
      </c>
      <c r="E152" t="s">
        <v>538</v>
      </c>
      <c r="F152" t="s">
        <v>544</v>
      </c>
      <c r="G152" t="s">
        <v>458</v>
      </c>
      <c r="H152">
        <v>82.61</v>
      </c>
      <c r="I152">
        <v>0.08</v>
      </c>
      <c r="J152">
        <v>49</v>
      </c>
      <c r="K152">
        <v>-46.25</v>
      </c>
      <c r="L152">
        <v>1.57</v>
      </c>
      <c r="M152">
        <v>0.59</v>
      </c>
    </row>
    <row r="153" spans="1:13" x14ac:dyDescent="0.35">
      <c r="A153" t="s">
        <v>109</v>
      </c>
      <c r="B153" s="1">
        <v>43229</v>
      </c>
      <c r="C153" t="s">
        <v>534</v>
      </c>
      <c r="D153" t="s">
        <v>18</v>
      </c>
      <c r="E153" t="s">
        <v>540</v>
      </c>
      <c r="F153" t="s">
        <v>553</v>
      </c>
      <c r="G153" t="s">
        <v>108</v>
      </c>
      <c r="H153">
        <v>927.82</v>
      </c>
      <c r="I153">
        <v>0.02</v>
      </c>
      <c r="J153">
        <v>43</v>
      </c>
      <c r="K153">
        <v>255.03</v>
      </c>
      <c r="L153">
        <v>6.67</v>
      </c>
      <c r="M153">
        <v>0.49</v>
      </c>
    </row>
    <row r="154" spans="1:13" x14ac:dyDescent="0.35">
      <c r="A154" t="s">
        <v>109</v>
      </c>
      <c r="B154" s="1">
        <v>43229</v>
      </c>
      <c r="C154" t="s">
        <v>534</v>
      </c>
      <c r="D154" t="s">
        <v>21</v>
      </c>
      <c r="E154" t="s">
        <v>538</v>
      </c>
      <c r="F154" t="s">
        <v>555</v>
      </c>
      <c r="G154" t="s">
        <v>108</v>
      </c>
      <c r="H154">
        <v>123.37</v>
      </c>
      <c r="I154">
        <v>0.09</v>
      </c>
      <c r="J154">
        <v>27</v>
      </c>
      <c r="K154">
        <v>-6.69</v>
      </c>
      <c r="L154">
        <v>0.7</v>
      </c>
      <c r="M154">
        <v>0.8</v>
      </c>
    </row>
    <row r="155" spans="1:13" x14ac:dyDescent="0.35">
      <c r="A155" t="s">
        <v>109</v>
      </c>
      <c r="B155" s="1">
        <v>43229</v>
      </c>
      <c r="C155" t="s">
        <v>534</v>
      </c>
      <c r="D155" t="s">
        <v>18</v>
      </c>
      <c r="E155" t="s">
        <v>540</v>
      </c>
      <c r="F155" t="s">
        <v>553</v>
      </c>
      <c r="G155" t="s">
        <v>110</v>
      </c>
      <c r="H155">
        <v>90.75</v>
      </c>
      <c r="I155">
        <v>0.02</v>
      </c>
      <c r="J155">
        <v>6</v>
      </c>
      <c r="K155">
        <v>-26.39</v>
      </c>
      <c r="L155">
        <v>14.37</v>
      </c>
      <c r="M155">
        <v>0.73</v>
      </c>
    </row>
    <row r="156" spans="1:13" x14ac:dyDescent="0.35">
      <c r="A156" t="s">
        <v>61</v>
      </c>
      <c r="B156" s="1">
        <v>43229</v>
      </c>
      <c r="C156" t="s">
        <v>535</v>
      </c>
      <c r="D156" t="s">
        <v>17</v>
      </c>
      <c r="E156" t="s">
        <v>540</v>
      </c>
      <c r="F156" t="s">
        <v>541</v>
      </c>
      <c r="G156" t="s">
        <v>60</v>
      </c>
      <c r="H156">
        <v>1992.45</v>
      </c>
      <c r="I156">
        <v>0.05</v>
      </c>
      <c r="J156">
        <v>40</v>
      </c>
      <c r="K156">
        <v>-1609.92</v>
      </c>
      <c r="L156">
        <v>54.11</v>
      </c>
      <c r="M156">
        <v>0.69</v>
      </c>
    </row>
    <row r="157" spans="1:13" x14ac:dyDescent="0.35">
      <c r="A157" t="s">
        <v>66</v>
      </c>
      <c r="B157" s="1">
        <v>43229</v>
      </c>
      <c r="C157" t="s">
        <v>534</v>
      </c>
      <c r="D157" t="s">
        <v>11</v>
      </c>
      <c r="E157" t="s">
        <v>545</v>
      </c>
      <c r="F157" t="s">
        <v>552</v>
      </c>
      <c r="G157" t="s">
        <v>65</v>
      </c>
      <c r="H157">
        <v>4587.9260000000004</v>
      </c>
      <c r="I157">
        <v>0.1</v>
      </c>
      <c r="J157">
        <v>30</v>
      </c>
      <c r="K157">
        <v>687.41</v>
      </c>
      <c r="L157">
        <v>4.2</v>
      </c>
      <c r="M157">
        <v>0.6</v>
      </c>
    </row>
    <row r="158" spans="1:13" x14ac:dyDescent="0.35">
      <c r="A158" t="s">
        <v>66</v>
      </c>
      <c r="B158" s="1">
        <v>43229</v>
      </c>
      <c r="C158" t="s">
        <v>534</v>
      </c>
      <c r="D158" t="s">
        <v>11</v>
      </c>
      <c r="E158" t="s">
        <v>545</v>
      </c>
      <c r="F158" t="s">
        <v>552</v>
      </c>
      <c r="G158" t="s">
        <v>65</v>
      </c>
      <c r="H158">
        <v>4541.924</v>
      </c>
      <c r="I158">
        <v>0.01</v>
      </c>
      <c r="J158">
        <v>42</v>
      </c>
      <c r="K158">
        <v>1222.1400000000001</v>
      </c>
      <c r="L158">
        <v>8.08</v>
      </c>
      <c r="M158">
        <v>0.56999999999999995</v>
      </c>
    </row>
    <row r="159" spans="1:13" x14ac:dyDescent="0.35">
      <c r="A159" t="s">
        <v>121</v>
      </c>
      <c r="B159" s="1">
        <v>43229</v>
      </c>
      <c r="C159" t="s">
        <v>533</v>
      </c>
      <c r="D159" t="s">
        <v>25</v>
      </c>
      <c r="E159" t="s">
        <v>538</v>
      </c>
      <c r="F159" t="s">
        <v>539</v>
      </c>
      <c r="G159" t="s">
        <v>120</v>
      </c>
      <c r="H159">
        <v>387</v>
      </c>
      <c r="I159">
        <v>0.01</v>
      </c>
      <c r="J159">
        <v>30</v>
      </c>
      <c r="K159">
        <v>-31.45</v>
      </c>
      <c r="L159">
        <v>6.13</v>
      </c>
      <c r="M159">
        <v>0.56999999999999995</v>
      </c>
    </row>
    <row r="160" spans="1:13" x14ac:dyDescent="0.35">
      <c r="A160" t="s">
        <v>470</v>
      </c>
      <c r="B160" s="1">
        <v>43230</v>
      </c>
      <c r="C160" t="s">
        <v>536</v>
      </c>
      <c r="D160" t="s">
        <v>12</v>
      </c>
      <c r="E160" t="s">
        <v>538</v>
      </c>
      <c r="F160" t="s">
        <v>554</v>
      </c>
      <c r="G160" t="s">
        <v>469</v>
      </c>
      <c r="H160">
        <v>338.89</v>
      </c>
      <c r="I160">
        <v>7.0000000000000007E-2</v>
      </c>
      <c r="J160">
        <v>6</v>
      </c>
      <c r="K160">
        <v>45.76</v>
      </c>
      <c r="L160">
        <v>10.75</v>
      </c>
      <c r="M160">
        <v>0.36</v>
      </c>
    </row>
    <row r="161" spans="1:13" x14ac:dyDescent="0.35">
      <c r="A161" t="s">
        <v>470</v>
      </c>
      <c r="B161" s="1">
        <v>43230</v>
      </c>
      <c r="C161" t="s">
        <v>536</v>
      </c>
      <c r="D161" t="s">
        <v>25</v>
      </c>
      <c r="E161" t="s">
        <v>538</v>
      </c>
      <c r="F161" t="s">
        <v>539</v>
      </c>
      <c r="G161" t="s">
        <v>469</v>
      </c>
      <c r="H161">
        <v>362.52</v>
      </c>
      <c r="I161">
        <v>7.0000000000000007E-2</v>
      </c>
      <c r="J161">
        <v>25</v>
      </c>
      <c r="K161">
        <v>-68.489999999999995</v>
      </c>
      <c r="L161">
        <v>7.51</v>
      </c>
      <c r="M161">
        <v>0.56999999999999995</v>
      </c>
    </row>
    <row r="162" spans="1:13" x14ac:dyDescent="0.35">
      <c r="A162" t="s">
        <v>417</v>
      </c>
      <c r="B162" s="1">
        <v>43231</v>
      </c>
      <c r="C162" t="s">
        <v>533</v>
      </c>
      <c r="D162" t="s">
        <v>22</v>
      </c>
      <c r="E162" t="s">
        <v>538</v>
      </c>
      <c r="F162" t="s">
        <v>551</v>
      </c>
      <c r="G162" t="s">
        <v>414</v>
      </c>
      <c r="H162">
        <v>463</v>
      </c>
      <c r="I162">
        <v>7.0000000000000007E-2</v>
      </c>
      <c r="J162">
        <v>32</v>
      </c>
      <c r="K162">
        <v>24.61</v>
      </c>
      <c r="L162">
        <v>7.17</v>
      </c>
      <c r="M162">
        <v>0.38</v>
      </c>
    </row>
    <row r="163" spans="1:13" x14ac:dyDescent="0.35">
      <c r="A163" t="s">
        <v>100</v>
      </c>
      <c r="B163" s="1">
        <v>43232</v>
      </c>
      <c r="C163" t="s">
        <v>533</v>
      </c>
      <c r="D163" t="s">
        <v>18</v>
      </c>
      <c r="E163" t="s">
        <v>540</v>
      </c>
      <c r="F163" t="s">
        <v>553</v>
      </c>
      <c r="G163" t="s">
        <v>101</v>
      </c>
      <c r="H163">
        <v>436.98</v>
      </c>
      <c r="I163">
        <v>7.0000000000000007E-2</v>
      </c>
      <c r="J163">
        <v>35</v>
      </c>
      <c r="K163">
        <v>75.61</v>
      </c>
      <c r="L163">
        <v>4.9800000000000004</v>
      </c>
      <c r="M163">
        <v>0.48</v>
      </c>
    </row>
    <row r="164" spans="1:13" x14ac:dyDescent="0.35">
      <c r="A164" t="s">
        <v>156</v>
      </c>
      <c r="B164" s="1">
        <v>43232</v>
      </c>
      <c r="C164" t="s">
        <v>534</v>
      </c>
      <c r="D164" t="s">
        <v>11</v>
      </c>
      <c r="E164" t="s">
        <v>545</v>
      </c>
      <c r="F164" t="s">
        <v>552</v>
      </c>
      <c r="G164" t="s">
        <v>155</v>
      </c>
      <c r="H164">
        <v>173.417</v>
      </c>
      <c r="I164">
        <v>0</v>
      </c>
      <c r="J164">
        <v>9</v>
      </c>
      <c r="K164">
        <v>18.23</v>
      </c>
      <c r="L164">
        <v>0.99</v>
      </c>
      <c r="M164">
        <v>0.37</v>
      </c>
    </row>
    <row r="165" spans="1:13" x14ac:dyDescent="0.35">
      <c r="A165" t="s">
        <v>146</v>
      </c>
      <c r="B165" s="1">
        <v>43236</v>
      </c>
      <c r="C165" t="s">
        <v>537</v>
      </c>
      <c r="D165" t="s">
        <v>25</v>
      </c>
      <c r="E165" t="s">
        <v>538</v>
      </c>
      <c r="F165" t="s">
        <v>539</v>
      </c>
      <c r="G165" t="s">
        <v>143</v>
      </c>
      <c r="H165">
        <v>7333.45</v>
      </c>
      <c r="I165">
        <v>7.0000000000000007E-2</v>
      </c>
      <c r="J165">
        <v>27</v>
      </c>
      <c r="K165">
        <v>-207.28</v>
      </c>
      <c r="L165">
        <v>35</v>
      </c>
      <c r="M165">
        <v>0.8</v>
      </c>
    </row>
    <row r="166" spans="1:13" x14ac:dyDescent="0.35">
      <c r="A166" t="s">
        <v>429</v>
      </c>
      <c r="B166" s="1">
        <v>43236</v>
      </c>
      <c r="C166" t="s">
        <v>535</v>
      </c>
      <c r="D166" t="s">
        <v>26</v>
      </c>
      <c r="E166" t="s">
        <v>545</v>
      </c>
      <c r="F166" t="s">
        <v>556</v>
      </c>
      <c r="G166" t="s">
        <v>430</v>
      </c>
      <c r="H166">
        <v>121.12</v>
      </c>
      <c r="I166">
        <v>0.1</v>
      </c>
      <c r="J166">
        <v>3</v>
      </c>
      <c r="K166">
        <v>-118.82</v>
      </c>
      <c r="L166">
        <v>1.99</v>
      </c>
      <c r="M166">
        <v>0.44</v>
      </c>
    </row>
    <row r="167" spans="1:13" x14ac:dyDescent="0.35">
      <c r="A167" t="s">
        <v>512</v>
      </c>
      <c r="B167" s="1">
        <v>43237</v>
      </c>
      <c r="C167" t="s">
        <v>536</v>
      </c>
      <c r="D167" t="s">
        <v>22</v>
      </c>
      <c r="E167" t="s">
        <v>538</v>
      </c>
      <c r="F167" t="s">
        <v>551</v>
      </c>
      <c r="G167" t="s">
        <v>513</v>
      </c>
      <c r="H167">
        <v>112.36</v>
      </c>
      <c r="I167">
        <v>0.08</v>
      </c>
      <c r="J167">
        <v>33</v>
      </c>
      <c r="K167">
        <v>-159.74</v>
      </c>
      <c r="L167">
        <v>6.27</v>
      </c>
      <c r="M167">
        <v>0.4</v>
      </c>
    </row>
    <row r="168" spans="1:13" x14ac:dyDescent="0.35">
      <c r="A168" t="s">
        <v>512</v>
      </c>
      <c r="B168" s="1">
        <v>43237</v>
      </c>
      <c r="C168" t="s">
        <v>536</v>
      </c>
      <c r="D168" t="s">
        <v>11</v>
      </c>
      <c r="E168" t="s">
        <v>545</v>
      </c>
      <c r="F168" t="s">
        <v>552</v>
      </c>
      <c r="G168" t="s">
        <v>513</v>
      </c>
      <c r="H168">
        <v>481.04899999999998</v>
      </c>
      <c r="I168">
        <v>0.09</v>
      </c>
      <c r="J168">
        <v>16</v>
      </c>
      <c r="K168">
        <v>46.51</v>
      </c>
      <c r="L168">
        <v>1.1000000000000001</v>
      </c>
      <c r="M168">
        <v>0.55000000000000004</v>
      </c>
    </row>
    <row r="169" spans="1:13" x14ac:dyDescent="0.35">
      <c r="A169" t="s">
        <v>318</v>
      </c>
      <c r="B169" s="1">
        <v>43240</v>
      </c>
      <c r="C169" t="s">
        <v>534</v>
      </c>
      <c r="D169" t="s">
        <v>19</v>
      </c>
      <c r="E169" t="s">
        <v>538</v>
      </c>
      <c r="F169" t="s">
        <v>557</v>
      </c>
      <c r="G169" t="s">
        <v>319</v>
      </c>
      <c r="H169">
        <v>335.35</v>
      </c>
      <c r="I169">
        <v>0.05</v>
      </c>
      <c r="J169">
        <v>39</v>
      </c>
      <c r="K169">
        <v>-134.97</v>
      </c>
      <c r="L169">
        <v>8.2899999999999991</v>
      </c>
      <c r="M169">
        <v>0.38</v>
      </c>
    </row>
    <row r="170" spans="1:13" x14ac:dyDescent="0.35">
      <c r="A170" t="s">
        <v>318</v>
      </c>
      <c r="B170" s="1">
        <v>43240</v>
      </c>
      <c r="C170" t="s">
        <v>534</v>
      </c>
      <c r="D170" t="s">
        <v>12</v>
      </c>
      <c r="E170" t="s">
        <v>538</v>
      </c>
      <c r="F170" t="s">
        <v>554</v>
      </c>
      <c r="G170" t="s">
        <v>321</v>
      </c>
      <c r="H170">
        <v>148.31</v>
      </c>
      <c r="I170">
        <v>0.03</v>
      </c>
      <c r="J170">
        <v>20</v>
      </c>
      <c r="K170">
        <v>37.33</v>
      </c>
      <c r="L170">
        <v>2.17</v>
      </c>
      <c r="M170">
        <v>0.38</v>
      </c>
    </row>
    <row r="171" spans="1:13" x14ac:dyDescent="0.35">
      <c r="A171" t="s">
        <v>389</v>
      </c>
      <c r="B171" s="1">
        <v>43250</v>
      </c>
      <c r="C171" t="s">
        <v>534</v>
      </c>
      <c r="D171" t="s">
        <v>22</v>
      </c>
      <c r="E171" t="s">
        <v>538</v>
      </c>
      <c r="F171" t="s">
        <v>551</v>
      </c>
      <c r="G171" t="s">
        <v>388</v>
      </c>
      <c r="H171">
        <v>321.70999999999998</v>
      </c>
      <c r="I171">
        <v>0.1</v>
      </c>
      <c r="J171">
        <v>6</v>
      </c>
      <c r="K171">
        <v>-2.73</v>
      </c>
      <c r="L171">
        <v>16.11</v>
      </c>
      <c r="M171">
        <v>0.39</v>
      </c>
    </row>
    <row r="172" spans="1:13" x14ac:dyDescent="0.35">
      <c r="A172" t="s">
        <v>150</v>
      </c>
      <c r="B172" s="1">
        <v>43252</v>
      </c>
      <c r="C172" t="s">
        <v>533</v>
      </c>
      <c r="D172" t="s">
        <v>18</v>
      </c>
      <c r="E172" t="s">
        <v>540</v>
      </c>
      <c r="F172" t="s">
        <v>553</v>
      </c>
      <c r="G172" t="s">
        <v>149</v>
      </c>
      <c r="H172">
        <v>108.73</v>
      </c>
      <c r="I172">
        <v>0.04</v>
      </c>
      <c r="J172">
        <v>16</v>
      </c>
      <c r="K172">
        <v>-22.21</v>
      </c>
      <c r="L172">
        <v>5.22</v>
      </c>
      <c r="M172">
        <v>0.6</v>
      </c>
    </row>
    <row r="173" spans="1:13" x14ac:dyDescent="0.35">
      <c r="A173" t="s">
        <v>244</v>
      </c>
      <c r="B173" s="1">
        <v>43252</v>
      </c>
      <c r="C173" t="s">
        <v>537</v>
      </c>
      <c r="D173" t="s">
        <v>26</v>
      </c>
      <c r="E173" t="s">
        <v>545</v>
      </c>
      <c r="F173" t="s">
        <v>556</v>
      </c>
      <c r="G173" t="s">
        <v>243</v>
      </c>
      <c r="H173">
        <v>1446.97</v>
      </c>
      <c r="I173">
        <v>0</v>
      </c>
      <c r="J173">
        <v>47</v>
      </c>
      <c r="K173">
        <v>531.47</v>
      </c>
      <c r="L173">
        <v>1.99</v>
      </c>
      <c r="M173">
        <v>0.5</v>
      </c>
    </row>
    <row r="174" spans="1:13" x14ac:dyDescent="0.35">
      <c r="A174" t="s">
        <v>80</v>
      </c>
      <c r="B174" s="1">
        <v>43253</v>
      </c>
      <c r="C174" t="s">
        <v>533</v>
      </c>
      <c r="D174" t="s">
        <v>20</v>
      </c>
      <c r="E174" t="s">
        <v>540</v>
      </c>
      <c r="F174" t="s">
        <v>547</v>
      </c>
      <c r="G174" t="s">
        <v>75</v>
      </c>
      <c r="H174">
        <v>7548.65</v>
      </c>
      <c r="I174">
        <v>0.03</v>
      </c>
      <c r="J174">
        <v>45</v>
      </c>
      <c r="K174">
        <v>1385.35</v>
      </c>
      <c r="L174">
        <v>30</v>
      </c>
      <c r="M174">
        <v>0.62</v>
      </c>
    </row>
    <row r="175" spans="1:13" x14ac:dyDescent="0.35">
      <c r="A175" t="s">
        <v>80</v>
      </c>
      <c r="B175" s="1">
        <v>43253</v>
      </c>
      <c r="C175" t="s">
        <v>533</v>
      </c>
      <c r="D175" t="s">
        <v>11</v>
      </c>
      <c r="E175" t="s">
        <v>545</v>
      </c>
      <c r="F175" t="s">
        <v>552</v>
      </c>
      <c r="G175" t="s">
        <v>75</v>
      </c>
      <c r="H175">
        <v>1318.8685</v>
      </c>
      <c r="I175">
        <v>0.03</v>
      </c>
      <c r="J175">
        <v>24</v>
      </c>
      <c r="K175">
        <v>172.33</v>
      </c>
      <c r="L175">
        <v>3.99</v>
      </c>
      <c r="M175">
        <v>0.59</v>
      </c>
    </row>
    <row r="176" spans="1:13" x14ac:dyDescent="0.35">
      <c r="A176" t="s">
        <v>324</v>
      </c>
      <c r="B176" s="1">
        <v>43253</v>
      </c>
      <c r="C176" t="s">
        <v>536</v>
      </c>
      <c r="D176" t="s">
        <v>12</v>
      </c>
      <c r="E176" t="s">
        <v>538</v>
      </c>
      <c r="F176" t="s">
        <v>554</v>
      </c>
      <c r="G176" t="s">
        <v>323</v>
      </c>
      <c r="H176">
        <v>643.53</v>
      </c>
      <c r="I176">
        <v>0.05</v>
      </c>
      <c r="J176">
        <v>32</v>
      </c>
      <c r="K176">
        <v>175.97</v>
      </c>
      <c r="L176">
        <v>5.77</v>
      </c>
      <c r="M176">
        <v>0.38</v>
      </c>
    </row>
    <row r="177" spans="1:13" x14ac:dyDescent="0.35">
      <c r="A177" t="s">
        <v>324</v>
      </c>
      <c r="B177" s="1">
        <v>43253</v>
      </c>
      <c r="C177" t="s">
        <v>536</v>
      </c>
      <c r="D177" t="s">
        <v>25</v>
      </c>
      <c r="E177" t="s">
        <v>538</v>
      </c>
      <c r="F177" t="s">
        <v>539</v>
      </c>
      <c r="G177" t="s">
        <v>323</v>
      </c>
      <c r="H177">
        <v>1217.77</v>
      </c>
      <c r="I177">
        <v>0.01</v>
      </c>
      <c r="J177">
        <v>27</v>
      </c>
      <c r="K177">
        <v>283.14</v>
      </c>
      <c r="L177">
        <v>6.22</v>
      </c>
      <c r="M177" t="s">
        <v>32</v>
      </c>
    </row>
    <row r="178" spans="1:13" x14ac:dyDescent="0.35">
      <c r="A178" t="s">
        <v>500</v>
      </c>
      <c r="B178" s="1">
        <v>43255</v>
      </c>
      <c r="C178" t="s">
        <v>533</v>
      </c>
      <c r="D178" t="s">
        <v>10</v>
      </c>
      <c r="E178" t="s">
        <v>538</v>
      </c>
      <c r="F178" t="s">
        <v>544</v>
      </c>
      <c r="G178" t="s">
        <v>499</v>
      </c>
      <c r="H178">
        <v>77.959999999999994</v>
      </c>
      <c r="I178">
        <v>0.05</v>
      </c>
      <c r="J178">
        <v>16</v>
      </c>
      <c r="K178">
        <v>16.649999999999999</v>
      </c>
      <c r="L178">
        <v>0.71</v>
      </c>
      <c r="M178">
        <v>0.52</v>
      </c>
    </row>
    <row r="179" spans="1:13" x14ac:dyDescent="0.35">
      <c r="A179" t="s">
        <v>443</v>
      </c>
      <c r="B179" s="1">
        <v>43255</v>
      </c>
      <c r="C179" t="s">
        <v>533</v>
      </c>
      <c r="D179" t="s">
        <v>25</v>
      </c>
      <c r="E179" t="s">
        <v>538</v>
      </c>
      <c r="F179" t="s">
        <v>539</v>
      </c>
      <c r="G179" t="s">
        <v>444</v>
      </c>
      <c r="H179">
        <v>2227.34</v>
      </c>
      <c r="I179">
        <v>0.09</v>
      </c>
      <c r="J179">
        <v>20</v>
      </c>
      <c r="K179">
        <v>-609.09</v>
      </c>
      <c r="L179">
        <v>35</v>
      </c>
      <c r="M179" t="s">
        <v>32</v>
      </c>
    </row>
    <row r="180" spans="1:13" x14ac:dyDescent="0.35">
      <c r="A180" t="s">
        <v>423</v>
      </c>
      <c r="B180" s="1">
        <v>43255</v>
      </c>
      <c r="C180" t="s">
        <v>536</v>
      </c>
      <c r="D180" t="s">
        <v>25</v>
      </c>
      <c r="E180" t="s">
        <v>538</v>
      </c>
      <c r="F180" t="s">
        <v>539</v>
      </c>
      <c r="G180" t="s">
        <v>420</v>
      </c>
      <c r="H180">
        <v>476.06</v>
      </c>
      <c r="I180">
        <v>0.04</v>
      </c>
      <c r="J180">
        <v>33</v>
      </c>
      <c r="K180">
        <v>-120.48</v>
      </c>
      <c r="L180">
        <v>9.3699999999999992</v>
      </c>
      <c r="M180">
        <v>0.56000000000000005</v>
      </c>
    </row>
    <row r="181" spans="1:13" x14ac:dyDescent="0.35">
      <c r="A181" t="s">
        <v>436</v>
      </c>
      <c r="B181" s="1">
        <v>43255</v>
      </c>
      <c r="C181" t="s">
        <v>535</v>
      </c>
      <c r="D181" t="s">
        <v>15</v>
      </c>
      <c r="E181" t="s">
        <v>538</v>
      </c>
      <c r="F181" t="s">
        <v>550</v>
      </c>
      <c r="G181" t="s">
        <v>435</v>
      </c>
      <c r="H181">
        <v>67.87</v>
      </c>
      <c r="I181">
        <v>7.0000000000000007E-2</v>
      </c>
      <c r="J181">
        <v>29</v>
      </c>
      <c r="K181">
        <v>-112.54</v>
      </c>
      <c r="L181">
        <v>5</v>
      </c>
      <c r="M181">
        <v>0.55000000000000004</v>
      </c>
    </row>
    <row r="182" spans="1:13" x14ac:dyDescent="0.35">
      <c r="A182" t="s">
        <v>436</v>
      </c>
      <c r="B182" s="1">
        <v>43255</v>
      </c>
      <c r="C182" t="s">
        <v>535</v>
      </c>
      <c r="D182" t="s">
        <v>19</v>
      </c>
      <c r="E182" t="s">
        <v>538</v>
      </c>
      <c r="F182" t="s">
        <v>557</v>
      </c>
      <c r="G182" t="s">
        <v>435</v>
      </c>
      <c r="H182">
        <v>542.24</v>
      </c>
      <c r="I182">
        <v>0.02</v>
      </c>
      <c r="J182">
        <v>33</v>
      </c>
      <c r="K182">
        <v>268.52999999999997</v>
      </c>
      <c r="L182">
        <v>1.39</v>
      </c>
      <c r="M182">
        <v>0.38</v>
      </c>
    </row>
    <row r="183" spans="1:13" x14ac:dyDescent="0.35">
      <c r="A183" t="s">
        <v>436</v>
      </c>
      <c r="B183" s="1">
        <v>43255</v>
      </c>
      <c r="C183" t="s">
        <v>535</v>
      </c>
      <c r="D183" t="s">
        <v>13</v>
      </c>
      <c r="E183" t="s">
        <v>545</v>
      </c>
      <c r="F183" t="s">
        <v>549</v>
      </c>
      <c r="G183" t="s">
        <v>435</v>
      </c>
      <c r="H183">
        <v>15174.95</v>
      </c>
      <c r="I183">
        <v>0.02</v>
      </c>
      <c r="J183">
        <v>38</v>
      </c>
      <c r="K183">
        <v>7251.92</v>
      </c>
      <c r="L183">
        <v>48.26</v>
      </c>
      <c r="M183">
        <v>0.36</v>
      </c>
    </row>
    <row r="184" spans="1:13" x14ac:dyDescent="0.35">
      <c r="A184" t="s">
        <v>436</v>
      </c>
      <c r="B184" s="1">
        <v>43255</v>
      </c>
      <c r="C184" t="s">
        <v>535</v>
      </c>
      <c r="D184" t="s">
        <v>13</v>
      </c>
      <c r="E184" t="s">
        <v>545</v>
      </c>
      <c r="F184" t="s">
        <v>549</v>
      </c>
      <c r="G184" t="s">
        <v>435</v>
      </c>
      <c r="H184">
        <v>1084.1199999999999</v>
      </c>
      <c r="I184">
        <v>0.04</v>
      </c>
      <c r="J184">
        <v>45</v>
      </c>
      <c r="K184">
        <v>294.43</v>
      </c>
      <c r="L184">
        <v>6.3</v>
      </c>
      <c r="M184">
        <v>0.38</v>
      </c>
    </row>
    <row r="185" spans="1:13" x14ac:dyDescent="0.35">
      <c r="A185" t="s">
        <v>218</v>
      </c>
      <c r="B185" s="1">
        <v>43256</v>
      </c>
      <c r="C185" t="s">
        <v>535</v>
      </c>
      <c r="D185" t="s">
        <v>26</v>
      </c>
      <c r="E185" t="s">
        <v>545</v>
      </c>
      <c r="F185" t="s">
        <v>556</v>
      </c>
      <c r="G185" t="s">
        <v>216</v>
      </c>
      <c r="H185">
        <v>5382.24</v>
      </c>
      <c r="I185">
        <v>0.1</v>
      </c>
      <c r="J185">
        <v>37</v>
      </c>
      <c r="K185">
        <v>14.85</v>
      </c>
      <c r="L185">
        <v>4</v>
      </c>
      <c r="M185">
        <v>0.79</v>
      </c>
    </row>
    <row r="186" spans="1:13" x14ac:dyDescent="0.35">
      <c r="A186" t="s">
        <v>218</v>
      </c>
      <c r="B186" s="1">
        <v>43256</v>
      </c>
      <c r="C186" t="s">
        <v>535</v>
      </c>
      <c r="D186" t="s">
        <v>26</v>
      </c>
      <c r="E186" t="s">
        <v>545</v>
      </c>
      <c r="F186" t="s">
        <v>556</v>
      </c>
      <c r="G186" t="s">
        <v>216</v>
      </c>
      <c r="H186">
        <v>1035.95</v>
      </c>
      <c r="I186">
        <v>0.08</v>
      </c>
      <c r="J186">
        <v>30</v>
      </c>
      <c r="K186">
        <v>342.41</v>
      </c>
      <c r="L186">
        <v>1.99</v>
      </c>
      <c r="M186">
        <v>0.43</v>
      </c>
    </row>
    <row r="187" spans="1:13" x14ac:dyDescent="0.35">
      <c r="A187" t="s">
        <v>233</v>
      </c>
      <c r="B187" s="1">
        <v>43256</v>
      </c>
      <c r="C187" t="s">
        <v>537</v>
      </c>
      <c r="D187" t="s">
        <v>13</v>
      </c>
      <c r="E187" t="s">
        <v>545</v>
      </c>
      <c r="F187" t="s">
        <v>549</v>
      </c>
      <c r="G187" t="s">
        <v>234</v>
      </c>
      <c r="H187">
        <v>3051.27</v>
      </c>
      <c r="I187">
        <v>0.1</v>
      </c>
      <c r="J187">
        <v>41</v>
      </c>
      <c r="K187">
        <v>121.48</v>
      </c>
      <c r="L187">
        <v>33.6</v>
      </c>
      <c r="M187">
        <v>0.37</v>
      </c>
    </row>
    <row r="188" spans="1:13" x14ac:dyDescent="0.35">
      <c r="A188" t="s">
        <v>88</v>
      </c>
      <c r="B188" s="1">
        <v>43257</v>
      </c>
      <c r="C188" t="s">
        <v>534</v>
      </c>
      <c r="D188" t="s">
        <v>26</v>
      </c>
      <c r="E188" t="s">
        <v>545</v>
      </c>
      <c r="F188" t="s">
        <v>556</v>
      </c>
      <c r="G188" t="s">
        <v>87</v>
      </c>
      <c r="H188">
        <v>33.64</v>
      </c>
      <c r="I188">
        <v>7.0000000000000007E-2</v>
      </c>
      <c r="J188">
        <v>4</v>
      </c>
      <c r="K188">
        <v>-35.17</v>
      </c>
      <c r="L188">
        <v>2.83</v>
      </c>
      <c r="M188">
        <v>0.77</v>
      </c>
    </row>
    <row r="189" spans="1:13" x14ac:dyDescent="0.35">
      <c r="A189" t="s">
        <v>88</v>
      </c>
      <c r="B189" s="1">
        <v>43257</v>
      </c>
      <c r="C189" t="s">
        <v>534</v>
      </c>
      <c r="D189" t="s">
        <v>13</v>
      </c>
      <c r="E189" t="s">
        <v>545</v>
      </c>
      <c r="F189" t="s">
        <v>549</v>
      </c>
      <c r="G189" t="s">
        <v>87</v>
      </c>
      <c r="H189">
        <v>701.94</v>
      </c>
      <c r="I189">
        <v>0.01</v>
      </c>
      <c r="J189">
        <v>29</v>
      </c>
      <c r="K189">
        <v>158.91</v>
      </c>
      <c r="L189">
        <v>6.3</v>
      </c>
      <c r="M189">
        <v>0.38</v>
      </c>
    </row>
    <row r="190" spans="1:13" x14ac:dyDescent="0.35">
      <c r="A190" t="s">
        <v>466</v>
      </c>
      <c r="B190" s="1">
        <v>43258</v>
      </c>
      <c r="C190" t="s">
        <v>535</v>
      </c>
      <c r="D190" t="s">
        <v>25</v>
      </c>
      <c r="E190" t="s">
        <v>538</v>
      </c>
      <c r="F190" t="s">
        <v>539</v>
      </c>
      <c r="G190" t="s">
        <v>465</v>
      </c>
      <c r="H190">
        <v>482.91</v>
      </c>
      <c r="I190">
        <v>0.1</v>
      </c>
      <c r="J190">
        <v>29</v>
      </c>
      <c r="K190">
        <v>-16.59</v>
      </c>
      <c r="L190">
        <v>6.25</v>
      </c>
      <c r="M190">
        <v>0.57999999999999996</v>
      </c>
    </row>
    <row r="191" spans="1:13" x14ac:dyDescent="0.35">
      <c r="A191" t="s">
        <v>466</v>
      </c>
      <c r="B191" s="1">
        <v>43258</v>
      </c>
      <c r="C191" t="s">
        <v>535</v>
      </c>
      <c r="D191" t="s">
        <v>11</v>
      </c>
      <c r="E191" t="s">
        <v>545</v>
      </c>
      <c r="F191" t="s">
        <v>552</v>
      </c>
      <c r="G191" t="s">
        <v>465</v>
      </c>
      <c r="H191">
        <v>2969.6365000000001</v>
      </c>
      <c r="I191">
        <v>0.04</v>
      </c>
      <c r="J191">
        <v>23</v>
      </c>
      <c r="K191">
        <v>383.45</v>
      </c>
      <c r="L191">
        <v>8.99</v>
      </c>
      <c r="M191">
        <v>0.57999999999999996</v>
      </c>
    </row>
    <row r="192" spans="1:13" x14ac:dyDescent="0.35">
      <c r="A192" t="s">
        <v>295</v>
      </c>
      <c r="B192" s="1">
        <v>43259</v>
      </c>
      <c r="C192" t="s">
        <v>535</v>
      </c>
      <c r="D192" t="s">
        <v>12</v>
      </c>
      <c r="E192" t="s">
        <v>538</v>
      </c>
      <c r="F192" t="s">
        <v>554</v>
      </c>
      <c r="G192" t="s">
        <v>296</v>
      </c>
      <c r="H192">
        <v>115.45</v>
      </c>
      <c r="I192">
        <v>7.0000000000000007E-2</v>
      </c>
      <c r="J192">
        <v>12</v>
      </c>
      <c r="K192">
        <v>23.53</v>
      </c>
      <c r="L192">
        <v>2.06</v>
      </c>
      <c r="M192">
        <v>0.39</v>
      </c>
    </row>
    <row r="193" spans="1:13" x14ac:dyDescent="0.35">
      <c r="A193" t="s">
        <v>295</v>
      </c>
      <c r="B193" s="1">
        <v>43259</v>
      </c>
      <c r="C193" t="s">
        <v>535</v>
      </c>
      <c r="D193" t="s">
        <v>26</v>
      </c>
      <c r="E193" t="s">
        <v>545</v>
      </c>
      <c r="F193" t="s">
        <v>556</v>
      </c>
      <c r="G193" t="s">
        <v>296</v>
      </c>
      <c r="H193">
        <v>163.89</v>
      </c>
      <c r="I193">
        <v>0.02</v>
      </c>
      <c r="J193">
        <v>31</v>
      </c>
      <c r="K193">
        <v>-108.55</v>
      </c>
      <c r="L193">
        <v>4.93</v>
      </c>
      <c r="M193">
        <v>0.66</v>
      </c>
    </row>
    <row r="194" spans="1:13" x14ac:dyDescent="0.35">
      <c r="A194" t="s">
        <v>144</v>
      </c>
      <c r="B194" s="1">
        <v>43260</v>
      </c>
      <c r="C194" t="s">
        <v>533</v>
      </c>
      <c r="D194" t="s">
        <v>22</v>
      </c>
      <c r="E194" t="s">
        <v>538</v>
      </c>
      <c r="F194" t="s">
        <v>551</v>
      </c>
      <c r="G194" t="s">
        <v>143</v>
      </c>
      <c r="H194">
        <v>42.67</v>
      </c>
      <c r="I194">
        <v>0.06</v>
      </c>
      <c r="J194">
        <v>10</v>
      </c>
      <c r="K194">
        <v>-12.72</v>
      </c>
      <c r="L194">
        <v>2.99</v>
      </c>
      <c r="M194">
        <v>0.37</v>
      </c>
    </row>
    <row r="195" spans="1:13" x14ac:dyDescent="0.35">
      <c r="A195" t="s">
        <v>43</v>
      </c>
      <c r="B195" s="1">
        <v>43261</v>
      </c>
      <c r="C195" t="s">
        <v>534</v>
      </c>
      <c r="D195" t="s">
        <v>12</v>
      </c>
      <c r="E195" t="s">
        <v>538</v>
      </c>
      <c r="F195" t="s">
        <v>554</v>
      </c>
      <c r="G195" t="s">
        <v>42</v>
      </c>
      <c r="H195">
        <v>391.42</v>
      </c>
      <c r="I195">
        <v>0.04</v>
      </c>
      <c r="J195">
        <v>38</v>
      </c>
      <c r="K195">
        <v>25.03</v>
      </c>
      <c r="L195">
        <v>5.12</v>
      </c>
      <c r="M195">
        <v>0.4</v>
      </c>
    </row>
    <row r="196" spans="1:13" x14ac:dyDescent="0.35">
      <c r="A196" t="s">
        <v>183</v>
      </c>
      <c r="B196" s="1">
        <v>43261</v>
      </c>
      <c r="C196" t="s">
        <v>534</v>
      </c>
      <c r="D196" t="s">
        <v>12</v>
      </c>
      <c r="E196" t="s">
        <v>538</v>
      </c>
      <c r="F196" t="s">
        <v>554</v>
      </c>
      <c r="G196" t="s">
        <v>182</v>
      </c>
      <c r="H196">
        <v>387.79</v>
      </c>
      <c r="I196">
        <v>0.01</v>
      </c>
      <c r="J196">
        <v>50</v>
      </c>
      <c r="K196">
        <v>-56.51</v>
      </c>
      <c r="L196">
        <v>5.83</v>
      </c>
      <c r="M196">
        <v>0.36</v>
      </c>
    </row>
    <row r="197" spans="1:13" x14ac:dyDescent="0.35">
      <c r="A197" t="s">
        <v>130</v>
      </c>
      <c r="B197" s="1">
        <v>43262</v>
      </c>
      <c r="C197" t="s">
        <v>533</v>
      </c>
      <c r="D197" t="s">
        <v>15</v>
      </c>
      <c r="E197" t="s">
        <v>538</v>
      </c>
      <c r="F197" t="s">
        <v>550</v>
      </c>
      <c r="G197" t="s">
        <v>131</v>
      </c>
      <c r="H197">
        <v>9046.33</v>
      </c>
      <c r="I197">
        <v>0</v>
      </c>
      <c r="J197">
        <v>46</v>
      </c>
      <c r="K197">
        <v>1398.03</v>
      </c>
      <c r="L197">
        <v>55.24</v>
      </c>
      <c r="M197">
        <v>0.56999999999999995</v>
      </c>
    </row>
    <row r="198" spans="1:13" x14ac:dyDescent="0.35">
      <c r="A198" t="s">
        <v>130</v>
      </c>
      <c r="B198" s="1">
        <v>43262</v>
      </c>
      <c r="C198" t="s">
        <v>533</v>
      </c>
      <c r="D198" t="s">
        <v>15</v>
      </c>
      <c r="E198" t="s">
        <v>538</v>
      </c>
      <c r="F198" t="s">
        <v>550</v>
      </c>
      <c r="G198" t="s">
        <v>131</v>
      </c>
      <c r="H198">
        <v>367.96</v>
      </c>
      <c r="I198">
        <v>0.06</v>
      </c>
      <c r="J198">
        <v>43</v>
      </c>
      <c r="K198">
        <v>-16.11</v>
      </c>
      <c r="L198">
        <v>3.5</v>
      </c>
      <c r="M198">
        <v>0.57999999999999996</v>
      </c>
    </row>
    <row r="199" spans="1:13" x14ac:dyDescent="0.35">
      <c r="A199" t="s">
        <v>130</v>
      </c>
      <c r="B199" s="1">
        <v>43262</v>
      </c>
      <c r="C199" t="s">
        <v>533</v>
      </c>
      <c r="D199" t="s">
        <v>19</v>
      </c>
      <c r="E199" t="s">
        <v>538</v>
      </c>
      <c r="F199" t="s">
        <v>557</v>
      </c>
      <c r="G199" t="s">
        <v>131</v>
      </c>
      <c r="H199">
        <v>159.05000000000001</v>
      </c>
      <c r="I199">
        <v>0.04</v>
      </c>
      <c r="J199">
        <v>27</v>
      </c>
      <c r="K199">
        <v>21.46</v>
      </c>
      <c r="L199">
        <v>2.5</v>
      </c>
      <c r="M199">
        <v>0.36</v>
      </c>
    </row>
    <row r="200" spans="1:13" x14ac:dyDescent="0.35">
      <c r="A200" t="s">
        <v>130</v>
      </c>
      <c r="B200" s="1">
        <v>43262</v>
      </c>
      <c r="C200" t="s">
        <v>533</v>
      </c>
      <c r="D200" t="s">
        <v>14</v>
      </c>
      <c r="E200" t="s">
        <v>538</v>
      </c>
      <c r="F200" t="s">
        <v>543</v>
      </c>
      <c r="G200" t="s">
        <v>131</v>
      </c>
      <c r="H200">
        <v>116.14</v>
      </c>
      <c r="I200">
        <v>0.01</v>
      </c>
      <c r="J200">
        <v>39</v>
      </c>
      <c r="K200">
        <v>50.44</v>
      </c>
      <c r="L200">
        <v>0.5</v>
      </c>
      <c r="M200">
        <v>0.36</v>
      </c>
    </row>
    <row r="201" spans="1:13" x14ac:dyDescent="0.35">
      <c r="A201" t="s">
        <v>416</v>
      </c>
      <c r="B201" s="1">
        <v>43262</v>
      </c>
      <c r="C201" t="s">
        <v>534</v>
      </c>
      <c r="D201" t="s">
        <v>11</v>
      </c>
      <c r="E201" t="s">
        <v>545</v>
      </c>
      <c r="F201" t="s">
        <v>552</v>
      </c>
      <c r="G201" t="s">
        <v>414</v>
      </c>
      <c r="H201">
        <v>1196.7915</v>
      </c>
      <c r="I201">
        <v>7.0000000000000007E-2</v>
      </c>
      <c r="J201">
        <v>26</v>
      </c>
      <c r="K201">
        <v>265.39</v>
      </c>
      <c r="L201">
        <v>1.25</v>
      </c>
      <c r="M201">
        <v>0.55000000000000004</v>
      </c>
    </row>
    <row r="202" spans="1:13" x14ac:dyDescent="0.35">
      <c r="A202" t="s">
        <v>367</v>
      </c>
      <c r="B202" s="1">
        <v>43262</v>
      </c>
      <c r="C202" t="s">
        <v>534</v>
      </c>
      <c r="D202" t="s">
        <v>25</v>
      </c>
      <c r="E202" t="s">
        <v>538</v>
      </c>
      <c r="F202" t="s">
        <v>539</v>
      </c>
      <c r="G202" t="s">
        <v>366</v>
      </c>
      <c r="H202">
        <v>442.57</v>
      </c>
      <c r="I202">
        <v>0.01</v>
      </c>
      <c r="J202">
        <v>27</v>
      </c>
      <c r="K202">
        <v>-60.73</v>
      </c>
      <c r="L202">
        <v>8.7799999999999994</v>
      </c>
      <c r="M202">
        <v>0.56999999999999995</v>
      </c>
    </row>
    <row r="203" spans="1:13" x14ac:dyDescent="0.35">
      <c r="A203" t="s">
        <v>367</v>
      </c>
      <c r="B203" s="1">
        <v>43262</v>
      </c>
      <c r="C203" t="s">
        <v>534</v>
      </c>
      <c r="D203" t="s">
        <v>11</v>
      </c>
      <c r="E203" t="s">
        <v>545</v>
      </c>
      <c r="F203" t="s">
        <v>552</v>
      </c>
      <c r="G203" t="s">
        <v>366</v>
      </c>
      <c r="H203">
        <v>53.737000000000002</v>
      </c>
      <c r="I203">
        <v>0.05</v>
      </c>
      <c r="J203">
        <v>5</v>
      </c>
      <c r="K203">
        <v>-28.44</v>
      </c>
      <c r="L203">
        <v>5.03</v>
      </c>
      <c r="M203">
        <v>0.6</v>
      </c>
    </row>
    <row r="204" spans="1:13" x14ac:dyDescent="0.35">
      <c r="A204" t="s">
        <v>380</v>
      </c>
      <c r="B204" s="1">
        <v>43263</v>
      </c>
      <c r="C204" t="s">
        <v>536</v>
      </c>
      <c r="D204" t="s">
        <v>13</v>
      </c>
      <c r="E204" t="s">
        <v>545</v>
      </c>
      <c r="F204" t="s">
        <v>549</v>
      </c>
      <c r="G204" t="s">
        <v>379</v>
      </c>
      <c r="H204">
        <v>5236.1400000000003</v>
      </c>
      <c r="I204">
        <v>0.05</v>
      </c>
      <c r="J204">
        <v>13</v>
      </c>
      <c r="K204">
        <v>567.59</v>
      </c>
      <c r="L204">
        <v>12.06</v>
      </c>
      <c r="M204">
        <v>0.56000000000000005</v>
      </c>
    </row>
    <row r="205" spans="1:13" x14ac:dyDescent="0.35">
      <c r="A205" t="s">
        <v>380</v>
      </c>
      <c r="B205" s="1">
        <v>43263</v>
      </c>
      <c r="C205" t="s">
        <v>536</v>
      </c>
      <c r="D205" t="s">
        <v>12</v>
      </c>
      <c r="E205" t="s">
        <v>538</v>
      </c>
      <c r="F205" t="s">
        <v>554</v>
      </c>
      <c r="G205" t="s">
        <v>379</v>
      </c>
      <c r="H205">
        <v>74.02</v>
      </c>
      <c r="I205">
        <v>7.0000000000000007E-2</v>
      </c>
      <c r="J205">
        <v>11</v>
      </c>
      <c r="K205">
        <v>-28.45</v>
      </c>
      <c r="L205">
        <v>5.74</v>
      </c>
      <c r="M205">
        <v>0.37</v>
      </c>
    </row>
    <row r="206" spans="1:13" x14ac:dyDescent="0.35">
      <c r="A206" t="s">
        <v>445</v>
      </c>
      <c r="B206" s="1">
        <v>43263</v>
      </c>
      <c r="C206" t="s">
        <v>534</v>
      </c>
      <c r="D206" t="s">
        <v>22</v>
      </c>
      <c r="E206" t="s">
        <v>538</v>
      </c>
      <c r="F206" t="s">
        <v>551</v>
      </c>
      <c r="G206" t="s">
        <v>444</v>
      </c>
      <c r="H206">
        <v>87.23</v>
      </c>
      <c r="I206">
        <v>0.09</v>
      </c>
      <c r="J206">
        <v>14</v>
      </c>
      <c r="K206">
        <v>-69.53</v>
      </c>
      <c r="L206">
        <v>7.78</v>
      </c>
      <c r="M206">
        <v>0.37</v>
      </c>
    </row>
    <row r="207" spans="1:13" x14ac:dyDescent="0.35">
      <c r="A207" t="s">
        <v>202</v>
      </c>
      <c r="B207" s="1">
        <v>43263</v>
      </c>
      <c r="C207" t="s">
        <v>534</v>
      </c>
      <c r="D207" t="s">
        <v>20</v>
      </c>
      <c r="E207" t="s">
        <v>540</v>
      </c>
      <c r="F207" t="s">
        <v>547</v>
      </c>
      <c r="G207" t="s">
        <v>200</v>
      </c>
      <c r="H207">
        <v>6123.48</v>
      </c>
      <c r="I207">
        <v>0.08</v>
      </c>
      <c r="J207">
        <v>44</v>
      </c>
      <c r="K207">
        <v>1232.79</v>
      </c>
      <c r="L207">
        <v>24.49</v>
      </c>
      <c r="M207">
        <v>0.56999999999999995</v>
      </c>
    </row>
    <row r="208" spans="1:13" x14ac:dyDescent="0.35">
      <c r="A208" t="s">
        <v>69</v>
      </c>
      <c r="B208" s="1">
        <v>43273</v>
      </c>
      <c r="C208" t="s">
        <v>537</v>
      </c>
      <c r="D208" t="s">
        <v>11</v>
      </c>
      <c r="E208" t="s">
        <v>545</v>
      </c>
      <c r="F208" t="s">
        <v>552</v>
      </c>
      <c r="G208" t="s">
        <v>67</v>
      </c>
      <c r="H208">
        <v>2011.6355000000001</v>
      </c>
      <c r="I208">
        <v>0.01</v>
      </c>
      <c r="J208">
        <v>12</v>
      </c>
      <c r="K208">
        <v>-53.69</v>
      </c>
      <c r="L208">
        <v>3.99</v>
      </c>
      <c r="M208">
        <v>0.59</v>
      </c>
    </row>
    <row r="209" spans="1:13" x14ac:dyDescent="0.35">
      <c r="A209" t="s">
        <v>447</v>
      </c>
      <c r="B209" s="1">
        <v>43277</v>
      </c>
      <c r="C209" t="s">
        <v>535</v>
      </c>
      <c r="D209" t="s">
        <v>12</v>
      </c>
      <c r="E209" t="s">
        <v>538</v>
      </c>
      <c r="F209" t="s">
        <v>554</v>
      </c>
      <c r="G209" t="s">
        <v>448</v>
      </c>
      <c r="H209">
        <v>260.58999999999997</v>
      </c>
      <c r="I209">
        <v>0.09</v>
      </c>
      <c r="J209">
        <v>43</v>
      </c>
      <c r="K209">
        <v>-157.76</v>
      </c>
      <c r="L209">
        <v>7.03</v>
      </c>
      <c r="M209">
        <v>0.37</v>
      </c>
    </row>
    <row r="210" spans="1:13" x14ac:dyDescent="0.35">
      <c r="A210" t="s">
        <v>106</v>
      </c>
      <c r="B210" s="1">
        <v>43277</v>
      </c>
      <c r="C210" t="s">
        <v>535</v>
      </c>
      <c r="D210" t="s">
        <v>26</v>
      </c>
      <c r="E210" t="s">
        <v>545</v>
      </c>
      <c r="F210" t="s">
        <v>556</v>
      </c>
      <c r="G210" t="s">
        <v>105</v>
      </c>
      <c r="H210">
        <v>503.08</v>
      </c>
      <c r="I210">
        <v>0.01</v>
      </c>
      <c r="J210">
        <v>12</v>
      </c>
      <c r="K210">
        <v>-102.74</v>
      </c>
      <c r="L210">
        <v>6.5</v>
      </c>
      <c r="M210">
        <v>0.74</v>
      </c>
    </row>
    <row r="211" spans="1:13" x14ac:dyDescent="0.35">
      <c r="A211" t="s">
        <v>106</v>
      </c>
      <c r="B211" s="1">
        <v>43277</v>
      </c>
      <c r="C211" t="s">
        <v>535</v>
      </c>
      <c r="D211" t="s">
        <v>26</v>
      </c>
      <c r="E211" t="s">
        <v>545</v>
      </c>
      <c r="F211" t="s">
        <v>556</v>
      </c>
      <c r="G211" t="s">
        <v>105</v>
      </c>
      <c r="H211">
        <v>4256.51</v>
      </c>
      <c r="I211">
        <v>0.03</v>
      </c>
      <c r="J211">
        <v>41</v>
      </c>
      <c r="K211">
        <v>1653.96</v>
      </c>
      <c r="L211">
        <v>7.18</v>
      </c>
      <c r="M211">
        <v>0.46</v>
      </c>
    </row>
    <row r="212" spans="1:13" x14ac:dyDescent="0.35">
      <c r="A212" t="s">
        <v>106</v>
      </c>
      <c r="B212" s="1">
        <v>43277</v>
      </c>
      <c r="C212" t="s">
        <v>535</v>
      </c>
      <c r="D212" t="s">
        <v>14</v>
      </c>
      <c r="E212" t="s">
        <v>538</v>
      </c>
      <c r="F212" t="s">
        <v>543</v>
      </c>
      <c r="G212" t="s">
        <v>105</v>
      </c>
      <c r="H212">
        <v>76.94</v>
      </c>
      <c r="I212">
        <v>0</v>
      </c>
      <c r="J212">
        <v>15</v>
      </c>
      <c r="K212">
        <v>29.67</v>
      </c>
      <c r="L212">
        <v>0.99</v>
      </c>
      <c r="M212">
        <v>0.39</v>
      </c>
    </row>
    <row r="213" spans="1:13" x14ac:dyDescent="0.35">
      <c r="A213" t="s">
        <v>73</v>
      </c>
      <c r="B213" s="1">
        <v>43278</v>
      </c>
      <c r="C213" t="s">
        <v>535</v>
      </c>
      <c r="D213" t="s">
        <v>10</v>
      </c>
      <c r="E213" t="s">
        <v>538</v>
      </c>
      <c r="F213" t="s">
        <v>544</v>
      </c>
      <c r="G213" t="s">
        <v>72</v>
      </c>
      <c r="H213">
        <v>18.37</v>
      </c>
      <c r="I213">
        <v>0.01</v>
      </c>
      <c r="J213">
        <v>6</v>
      </c>
      <c r="K213">
        <v>-4.0599999999999996</v>
      </c>
      <c r="L213">
        <v>1.2</v>
      </c>
      <c r="M213">
        <v>0.57999999999999996</v>
      </c>
    </row>
    <row r="214" spans="1:13" x14ac:dyDescent="0.35">
      <c r="A214" t="s">
        <v>73</v>
      </c>
      <c r="B214" s="1">
        <v>43278</v>
      </c>
      <c r="C214" t="s">
        <v>535</v>
      </c>
      <c r="D214" t="s">
        <v>18</v>
      </c>
      <c r="E214" t="s">
        <v>540</v>
      </c>
      <c r="F214" t="s">
        <v>553</v>
      </c>
      <c r="G214" t="s">
        <v>72</v>
      </c>
      <c r="H214">
        <v>1943.72</v>
      </c>
      <c r="I214">
        <v>0.03</v>
      </c>
      <c r="J214">
        <v>47</v>
      </c>
      <c r="K214">
        <v>-1003.58</v>
      </c>
      <c r="L214">
        <v>34.200000000000003</v>
      </c>
      <c r="M214">
        <v>0.73</v>
      </c>
    </row>
    <row r="215" spans="1:13" x14ac:dyDescent="0.35">
      <c r="A215" t="s">
        <v>73</v>
      </c>
      <c r="B215" s="1">
        <v>43278</v>
      </c>
      <c r="C215" t="s">
        <v>535</v>
      </c>
      <c r="D215" t="s">
        <v>11</v>
      </c>
      <c r="E215" t="s">
        <v>545</v>
      </c>
      <c r="F215" t="s">
        <v>552</v>
      </c>
      <c r="G215" t="s">
        <v>72</v>
      </c>
      <c r="H215">
        <v>6175.777</v>
      </c>
      <c r="I215">
        <v>7.0000000000000007E-2</v>
      </c>
      <c r="J215">
        <v>49</v>
      </c>
      <c r="K215">
        <v>1881.58</v>
      </c>
      <c r="L215">
        <v>3.9</v>
      </c>
      <c r="M215">
        <v>0.55000000000000004</v>
      </c>
    </row>
    <row r="216" spans="1:13" x14ac:dyDescent="0.35">
      <c r="A216" t="s">
        <v>505</v>
      </c>
      <c r="B216" s="1">
        <v>43282</v>
      </c>
      <c r="C216" t="s">
        <v>536</v>
      </c>
      <c r="D216" t="s">
        <v>10</v>
      </c>
      <c r="E216" t="s">
        <v>538</v>
      </c>
      <c r="F216" t="s">
        <v>544</v>
      </c>
      <c r="G216" t="s">
        <v>504</v>
      </c>
      <c r="H216">
        <v>50.07</v>
      </c>
      <c r="I216">
        <v>0.03</v>
      </c>
      <c r="J216">
        <v>19</v>
      </c>
      <c r="K216">
        <v>-0.53</v>
      </c>
      <c r="L216">
        <v>0.86</v>
      </c>
      <c r="M216">
        <v>0.56999999999999995</v>
      </c>
    </row>
    <row r="217" spans="1:13" x14ac:dyDescent="0.35">
      <c r="A217" t="s">
        <v>505</v>
      </c>
      <c r="B217" s="1">
        <v>43282</v>
      </c>
      <c r="C217" t="s">
        <v>536</v>
      </c>
      <c r="D217" t="s">
        <v>12</v>
      </c>
      <c r="E217" t="s">
        <v>538</v>
      </c>
      <c r="F217" t="s">
        <v>554</v>
      </c>
      <c r="G217" t="s">
        <v>504</v>
      </c>
      <c r="H217">
        <v>147.16</v>
      </c>
      <c r="I217">
        <v>0.01</v>
      </c>
      <c r="J217">
        <v>21</v>
      </c>
      <c r="K217">
        <v>-92.55</v>
      </c>
      <c r="L217">
        <v>8.4</v>
      </c>
      <c r="M217">
        <v>0.37</v>
      </c>
    </row>
    <row r="218" spans="1:13" x14ac:dyDescent="0.35">
      <c r="A218" t="s">
        <v>505</v>
      </c>
      <c r="B218" s="1">
        <v>43282</v>
      </c>
      <c r="C218" t="s">
        <v>536</v>
      </c>
      <c r="D218" t="s">
        <v>16</v>
      </c>
      <c r="E218" t="s">
        <v>540</v>
      </c>
      <c r="F218" t="s">
        <v>542</v>
      </c>
      <c r="G218" t="s">
        <v>504</v>
      </c>
      <c r="H218">
        <v>6982.87</v>
      </c>
      <c r="I218">
        <v>0.05</v>
      </c>
      <c r="J218">
        <v>32</v>
      </c>
      <c r="K218">
        <v>875.55</v>
      </c>
      <c r="L218">
        <v>29.1</v>
      </c>
      <c r="M218">
        <v>0.68</v>
      </c>
    </row>
    <row r="219" spans="1:13" x14ac:dyDescent="0.35">
      <c r="A219" t="s">
        <v>474</v>
      </c>
      <c r="B219" s="1">
        <v>43282</v>
      </c>
      <c r="C219" t="s">
        <v>535</v>
      </c>
      <c r="D219" t="s">
        <v>11</v>
      </c>
      <c r="E219" t="s">
        <v>545</v>
      </c>
      <c r="F219" t="s">
        <v>552</v>
      </c>
      <c r="G219" t="s">
        <v>473</v>
      </c>
      <c r="H219">
        <v>607.59699999999998</v>
      </c>
      <c r="I219">
        <v>7.0000000000000007E-2</v>
      </c>
      <c r="J219">
        <v>11</v>
      </c>
      <c r="K219">
        <v>-112.24</v>
      </c>
      <c r="L219">
        <v>5.99</v>
      </c>
      <c r="M219">
        <v>0.57999999999999996</v>
      </c>
    </row>
    <row r="220" spans="1:13" x14ac:dyDescent="0.35">
      <c r="A220" t="s">
        <v>290</v>
      </c>
      <c r="B220" s="1">
        <v>43283</v>
      </c>
      <c r="C220" t="s">
        <v>537</v>
      </c>
      <c r="D220" t="s">
        <v>17</v>
      </c>
      <c r="E220" t="s">
        <v>540</v>
      </c>
      <c r="F220" t="s">
        <v>541</v>
      </c>
      <c r="G220" t="s">
        <v>288</v>
      </c>
      <c r="H220">
        <v>748.25</v>
      </c>
      <c r="I220">
        <v>0.05</v>
      </c>
      <c r="J220">
        <v>10</v>
      </c>
      <c r="K220">
        <v>-86.99</v>
      </c>
      <c r="L220">
        <v>26.74</v>
      </c>
      <c r="M220">
        <v>0.6</v>
      </c>
    </row>
    <row r="221" spans="1:13" x14ac:dyDescent="0.35">
      <c r="A221" t="s">
        <v>102</v>
      </c>
      <c r="B221" s="1">
        <v>43283</v>
      </c>
      <c r="C221" t="s">
        <v>537</v>
      </c>
      <c r="D221" t="s">
        <v>22</v>
      </c>
      <c r="E221" t="s">
        <v>538</v>
      </c>
      <c r="F221" t="s">
        <v>551</v>
      </c>
      <c r="G221" t="s">
        <v>103</v>
      </c>
      <c r="H221">
        <v>619.77</v>
      </c>
      <c r="I221">
        <v>0.02</v>
      </c>
      <c r="J221">
        <v>42</v>
      </c>
      <c r="K221">
        <v>50.24</v>
      </c>
      <c r="L221">
        <v>7.17</v>
      </c>
      <c r="M221">
        <v>0.38</v>
      </c>
    </row>
    <row r="222" spans="1:13" x14ac:dyDescent="0.35">
      <c r="A222" t="s">
        <v>229</v>
      </c>
      <c r="B222" s="1">
        <v>43283</v>
      </c>
      <c r="C222" t="s">
        <v>537</v>
      </c>
      <c r="D222" t="s">
        <v>11</v>
      </c>
      <c r="E222" t="s">
        <v>545</v>
      </c>
      <c r="F222" t="s">
        <v>552</v>
      </c>
      <c r="G222" t="s">
        <v>228</v>
      </c>
      <c r="H222">
        <v>3900.5309999999999</v>
      </c>
      <c r="I222">
        <v>0.08</v>
      </c>
      <c r="J222">
        <v>42</v>
      </c>
      <c r="K222">
        <v>1144.6300000000001</v>
      </c>
      <c r="L222">
        <v>2.5</v>
      </c>
      <c r="M222">
        <v>0.56999999999999995</v>
      </c>
    </row>
    <row r="223" spans="1:13" x14ac:dyDescent="0.35">
      <c r="A223" t="s">
        <v>229</v>
      </c>
      <c r="B223" s="1">
        <v>43283</v>
      </c>
      <c r="C223" t="s">
        <v>537</v>
      </c>
      <c r="D223" t="s">
        <v>9</v>
      </c>
      <c r="E223" t="s">
        <v>538</v>
      </c>
      <c r="F223" t="s">
        <v>548</v>
      </c>
      <c r="G223" t="s">
        <v>228</v>
      </c>
      <c r="H223">
        <v>248.42</v>
      </c>
      <c r="I223">
        <v>0.02</v>
      </c>
      <c r="J223">
        <v>35</v>
      </c>
      <c r="K223">
        <v>-58.81</v>
      </c>
      <c r="L223">
        <v>4.42</v>
      </c>
      <c r="M223">
        <v>0.57999999999999996</v>
      </c>
    </row>
    <row r="224" spans="1:13" x14ac:dyDescent="0.35">
      <c r="A224" t="s">
        <v>178</v>
      </c>
      <c r="B224" s="1">
        <v>43283</v>
      </c>
      <c r="C224" t="s">
        <v>533</v>
      </c>
      <c r="D224" t="s">
        <v>18</v>
      </c>
      <c r="E224" t="s">
        <v>540</v>
      </c>
      <c r="F224" t="s">
        <v>553</v>
      </c>
      <c r="G224" t="s">
        <v>176</v>
      </c>
      <c r="H224">
        <v>3351.55</v>
      </c>
      <c r="I224">
        <v>0.04</v>
      </c>
      <c r="J224">
        <v>37</v>
      </c>
      <c r="K224">
        <v>-1036.92</v>
      </c>
      <c r="L224">
        <v>56.2</v>
      </c>
      <c r="M224">
        <v>0.74</v>
      </c>
    </row>
    <row r="225" spans="1:13" x14ac:dyDescent="0.35">
      <c r="A225" t="s">
        <v>24</v>
      </c>
      <c r="B225" s="1">
        <v>43284</v>
      </c>
      <c r="C225" t="s">
        <v>536</v>
      </c>
      <c r="D225" t="s">
        <v>12</v>
      </c>
      <c r="E225" t="s">
        <v>538</v>
      </c>
      <c r="F225" t="s">
        <v>554</v>
      </c>
      <c r="G225" t="s">
        <v>23</v>
      </c>
      <c r="H225">
        <v>49.61</v>
      </c>
      <c r="I225">
        <v>0</v>
      </c>
      <c r="J225">
        <v>1</v>
      </c>
      <c r="K225">
        <v>-41.82</v>
      </c>
      <c r="L225">
        <v>17.079999999999998</v>
      </c>
      <c r="M225">
        <v>0.4</v>
      </c>
    </row>
    <row r="226" spans="1:13" x14ac:dyDescent="0.35">
      <c r="A226" t="s">
        <v>209</v>
      </c>
      <c r="B226" s="1">
        <v>43284</v>
      </c>
      <c r="C226" t="s">
        <v>534</v>
      </c>
      <c r="D226" t="s">
        <v>22</v>
      </c>
      <c r="E226" t="s">
        <v>538</v>
      </c>
      <c r="F226" t="s">
        <v>551</v>
      </c>
      <c r="G226" t="s">
        <v>208</v>
      </c>
      <c r="H226">
        <v>711.1</v>
      </c>
      <c r="I226">
        <v>0.08</v>
      </c>
      <c r="J226">
        <v>36</v>
      </c>
      <c r="K226">
        <v>241.08</v>
      </c>
      <c r="L226">
        <v>2.99</v>
      </c>
      <c r="M226">
        <v>0.36</v>
      </c>
    </row>
    <row r="227" spans="1:13" x14ac:dyDescent="0.35">
      <c r="A227" t="s">
        <v>209</v>
      </c>
      <c r="B227" s="1">
        <v>43284</v>
      </c>
      <c r="C227" t="s">
        <v>534</v>
      </c>
      <c r="D227" t="s">
        <v>12</v>
      </c>
      <c r="E227" t="s">
        <v>538</v>
      </c>
      <c r="F227" t="s">
        <v>554</v>
      </c>
      <c r="G227" t="s">
        <v>208</v>
      </c>
      <c r="H227">
        <v>498.16</v>
      </c>
      <c r="I227">
        <v>0.03</v>
      </c>
      <c r="J227">
        <v>48</v>
      </c>
      <c r="K227">
        <v>40.61</v>
      </c>
      <c r="L227">
        <v>5.12</v>
      </c>
      <c r="M227">
        <v>0.4</v>
      </c>
    </row>
    <row r="228" spans="1:13" x14ac:dyDescent="0.35">
      <c r="A228" t="s">
        <v>528</v>
      </c>
      <c r="B228" s="1">
        <v>43284</v>
      </c>
      <c r="C228" t="s">
        <v>534</v>
      </c>
      <c r="D228" t="s">
        <v>22</v>
      </c>
      <c r="E228" t="s">
        <v>538</v>
      </c>
      <c r="F228" t="s">
        <v>551</v>
      </c>
      <c r="G228" t="s">
        <v>527</v>
      </c>
      <c r="H228">
        <v>351.49</v>
      </c>
      <c r="I228">
        <v>0.03</v>
      </c>
      <c r="J228">
        <v>8</v>
      </c>
      <c r="K228">
        <v>107.32</v>
      </c>
      <c r="L228">
        <v>2.99</v>
      </c>
      <c r="M228">
        <v>0.35</v>
      </c>
    </row>
    <row r="229" spans="1:13" x14ac:dyDescent="0.35">
      <c r="A229" t="s">
        <v>528</v>
      </c>
      <c r="B229" s="1">
        <v>43284</v>
      </c>
      <c r="C229" t="s">
        <v>534</v>
      </c>
      <c r="D229" t="s">
        <v>12</v>
      </c>
      <c r="E229" t="s">
        <v>538</v>
      </c>
      <c r="F229" t="s">
        <v>554</v>
      </c>
      <c r="G229" t="s">
        <v>527</v>
      </c>
      <c r="H229">
        <v>74.13</v>
      </c>
      <c r="I229">
        <v>0.08</v>
      </c>
      <c r="J229">
        <v>16</v>
      </c>
      <c r="K229">
        <v>-69.34</v>
      </c>
      <c r="L229">
        <v>6.72</v>
      </c>
      <c r="M229">
        <v>0.4</v>
      </c>
    </row>
    <row r="230" spans="1:13" x14ac:dyDescent="0.35">
      <c r="A230" t="s">
        <v>528</v>
      </c>
      <c r="B230" s="1">
        <v>43284</v>
      </c>
      <c r="C230" t="s">
        <v>534</v>
      </c>
      <c r="D230" t="s">
        <v>12</v>
      </c>
      <c r="E230" t="s">
        <v>538</v>
      </c>
      <c r="F230" t="s">
        <v>554</v>
      </c>
      <c r="G230" t="s">
        <v>527</v>
      </c>
      <c r="H230">
        <v>195.03</v>
      </c>
      <c r="I230">
        <v>0.09</v>
      </c>
      <c r="J230">
        <v>45</v>
      </c>
      <c r="K230">
        <v>-148.87</v>
      </c>
      <c r="L230">
        <v>5.74</v>
      </c>
      <c r="M230">
        <v>0.4</v>
      </c>
    </row>
    <row r="231" spans="1:13" x14ac:dyDescent="0.35">
      <c r="A231" t="s">
        <v>136</v>
      </c>
      <c r="B231" s="1">
        <v>43285</v>
      </c>
      <c r="C231" t="s">
        <v>536</v>
      </c>
      <c r="D231" t="s">
        <v>18</v>
      </c>
      <c r="E231" t="s">
        <v>540</v>
      </c>
      <c r="F231" t="s">
        <v>553</v>
      </c>
      <c r="G231" t="s">
        <v>137</v>
      </c>
      <c r="H231">
        <v>244.85</v>
      </c>
      <c r="I231">
        <v>0.06</v>
      </c>
      <c r="J231">
        <v>14</v>
      </c>
      <c r="K231">
        <v>38.06</v>
      </c>
      <c r="L231">
        <v>8.99</v>
      </c>
      <c r="M231">
        <v>0.47</v>
      </c>
    </row>
    <row r="232" spans="1:13" x14ac:dyDescent="0.35">
      <c r="A232" t="s">
        <v>190</v>
      </c>
      <c r="B232" s="1">
        <v>43286</v>
      </c>
      <c r="C232" t="s">
        <v>537</v>
      </c>
      <c r="D232" t="s">
        <v>10</v>
      </c>
      <c r="E232" t="s">
        <v>538</v>
      </c>
      <c r="F232" t="s">
        <v>544</v>
      </c>
      <c r="G232" t="s">
        <v>191</v>
      </c>
      <c r="H232">
        <v>198.08</v>
      </c>
      <c r="I232">
        <v>0.02</v>
      </c>
      <c r="J232">
        <v>47</v>
      </c>
      <c r="K232">
        <v>32.69</v>
      </c>
      <c r="L232">
        <v>0.94</v>
      </c>
      <c r="M232">
        <v>0.56000000000000005</v>
      </c>
    </row>
    <row r="233" spans="1:13" x14ac:dyDescent="0.35">
      <c r="A233" t="s">
        <v>480</v>
      </c>
      <c r="B233" s="1">
        <v>43287</v>
      </c>
      <c r="C233" t="s">
        <v>535</v>
      </c>
      <c r="D233" t="s">
        <v>26</v>
      </c>
      <c r="E233" t="s">
        <v>545</v>
      </c>
      <c r="F233" t="s">
        <v>556</v>
      </c>
      <c r="G233" t="s">
        <v>481</v>
      </c>
      <c r="H233">
        <v>28.65</v>
      </c>
      <c r="I233">
        <v>0.02</v>
      </c>
      <c r="J233">
        <v>16</v>
      </c>
      <c r="K233">
        <v>-23.86</v>
      </c>
      <c r="L233">
        <v>1.99</v>
      </c>
      <c r="M233">
        <v>0.51</v>
      </c>
    </row>
    <row r="234" spans="1:13" x14ac:dyDescent="0.35">
      <c r="A234" t="s">
        <v>480</v>
      </c>
      <c r="B234" s="1">
        <v>43287</v>
      </c>
      <c r="C234" t="s">
        <v>535</v>
      </c>
      <c r="D234" t="s">
        <v>11</v>
      </c>
      <c r="E234" t="s">
        <v>545</v>
      </c>
      <c r="F234" t="s">
        <v>552</v>
      </c>
      <c r="G234" t="s">
        <v>481</v>
      </c>
      <c r="H234">
        <v>201.535</v>
      </c>
      <c r="I234">
        <v>0.09</v>
      </c>
      <c r="J234">
        <v>12</v>
      </c>
      <c r="K234">
        <v>-122.62</v>
      </c>
      <c r="L234">
        <v>3.3</v>
      </c>
      <c r="M234">
        <v>0.81</v>
      </c>
    </row>
    <row r="235" spans="1:13" x14ac:dyDescent="0.35">
      <c r="A235" t="s">
        <v>257</v>
      </c>
      <c r="B235" s="1">
        <v>43287</v>
      </c>
      <c r="C235" t="s">
        <v>537</v>
      </c>
      <c r="D235" t="s">
        <v>19</v>
      </c>
      <c r="E235" t="s">
        <v>538</v>
      </c>
      <c r="F235" t="s">
        <v>557</v>
      </c>
      <c r="G235" t="s">
        <v>255</v>
      </c>
      <c r="H235">
        <v>437.86</v>
      </c>
      <c r="I235">
        <v>0.04</v>
      </c>
      <c r="J235">
        <v>38</v>
      </c>
      <c r="K235">
        <v>-4.17</v>
      </c>
      <c r="L235">
        <v>6.97</v>
      </c>
      <c r="M235">
        <v>0.35</v>
      </c>
    </row>
    <row r="236" spans="1:13" x14ac:dyDescent="0.35">
      <c r="A236" t="s">
        <v>269</v>
      </c>
      <c r="B236" s="1">
        <v>43287</v>
      </c>
      <c r="C236" t="s">
        <v>533</v>
      </c>
      <c r="D236" t="s">
        <v>22</v>
      </c>
      <c r="E236" t="s">
        <v>538</v>
      </c>
      <c r="F236" t="s">
        <v>551</v>
      </c>
      <c r="G236" t="s">
        <v>268</v>
      </c>
      <c r="H236">
        <v>23792.93</v>
      </c>
      <c r="I236">
        <v>0</v>
      </c>
      <c r="J236">
        <v>18</v>
      </c>
      <c r="K236">
        <v>10951.31</v>
      </c>
      <c r="L236">
        <v>19.989999999999998</v>
      </c>
      <c r="M236">
        <v>0.35</v>
      </c>
    </row>
    <row r="237" spans="1:13" x14ac:dyDescent="0.35">
      <c r="A237" t="s">
        <v>193</v>
      </c>
      <c r="B237" s="1">
        <v>43287</v>
      </c>
      <c r="C237" t="s">
        <v>537</v>
      </c>
      <c r="D237" t="s">
        <v>25</v>
      </c>
      <c r="E237" t="s">
        <v>538</v>
      </c>
      <c r="F237" t="s">
        <v>539</v>
      </c>
      <c r="G237" t="s">
        <v>192</v>
      </c>
      <c r="H237">
        <v>234.28</v>
      </c>
      <c r="I237">
        <v>0.09</v>
      </c>
      <c r="J237">
        <v>8</v>
      </c>
      <c r="K237">
        <v>-65.42</v>
      </c>
      <c r="L237">
        <v>13.99</v>
      </c>
      <c r="M237">
        <v>0.57999999999999996</v>
      </c>
    </row>
    <row r="238" spans="1:13" x14ac:dyDescent="0.35">
      <c r="A238" t="s">
        <v>193</v>
      </c>
      <c r="B238" s="1">
        <v>43287</v>
      </c>
      <c r="C238" t="s">
        <v>537</v>
      </c>
      <c r="D238" t="s">
        <v>11</v>
      </c>
      <c r="E238" t="s">
        <v>545</v>
      </c>
      <c r="F238" t="s">
        <v>552</v>
      </c>
      <c r="G238" t="s">
        <v>192</v>
      </c>
      <c r="H238">
        <v>1779.8915</v>
      </c>
      <c r="I238">
        <v>0.09</v>
      </c>
      <c r="J238">
        <v>41</v>
      </c>
      <c r="K238">
        <v>-250.17</v>
      </c>
      <c r="L238">
        <v>5</v>
      </c>
      <c r="M238">
        <v>0.8</v>
      </c>
    </row>
    <row r="239" spans="1:13" x14ac:dyDescent="0.35">
      <c r="A239" t="s">
        <v>193</v>
      </c>
      <c r="B239" s="1">
        <v>43287</v>
      </c>
      <c r="C239" t="s">
        <v>537</v>
      </c>
      <c r="D239" t="s">
        <v>12</v>
      </c>
      <c r="E239" t="s">
        <v>538</v>
      </c>
      <c r="F239" t="s">
        <v>554</v>
      </c>
      <c r="G239" t="s">
        <v>192</v>
      </c>
      <c r="H239">
        <v>207.08</v>
      </c>
      <c r="I239">
        <v>0.09</v>
      </c>
      <c r="J239">
        <v>48</v>
      </c>
      <c r="K239">
        <v>-131.82</v>
      </c>
      <c r="L239">
        <v>5.17</v>
      </c>
      <c r="M239">
        <v>0.4</v>
      </c>
    </row>
    <row r="240" spans="1:13" x14ac:dyDescent="0.35">
      <c r="A240" t="s">
        <v>166</v>
      </c>
      <c r="B240" s="1">
        <v>43288</v>
      </c>
      <c r="C240" t="s">
        <v>533</v>
      </c>
      <c r="D240" t="s">
        <v>20</v>
      </c>
      <c r="E240" t="s">
        <v>540</v>
      </c>
      <c r="F240" t="s">
        <v>547</v>
      </c>
      <c r="G240" t="s">
        <v>164</v>
      </c>
      <c r="H240">
        <v>870.75</v>
      </c>
      <c r="I240">
        <v>0.09</v>
      </c>
      <c r="J240">
        <v>35</v>
      </c>
      <c r="K240">
        <v>100.5</v>
      </c>
      <c r="L240">
        <v>5.3</v>
      </c>
      <c r="M240" t="s">
        <v>32</v>
      </c>
    </row>
    <row r="241" spans="1:13" x14ac:dyDescent="0.35">
      <c r="A241" t="s">
        <v>166</v>
      </c>
      <c r="B241" s="1">
        <v>43288</v>
      </c>
      <c r="C241" t="s">
        <v>533</v>
      </c>
      <c r="D241" t="s">
        <v>18</v>
      </c>
      <c r="E241" t="s">
        <v>540</v>
      </c>
      <c r="F241" t="s">
        <v>553</v>
      </c>
      <c r="G241" t="s">
        <v>164</v>
      </c>
      <c r="H241">
        <v>43.37</v>
      </c>
      <c r="I241">
        <v>0.02</v>
      </c>
      <c r="J241">
        <v>13</v>
      </c>
      <c r="K241">
        <v>9.5299999999999994</v>
      </c>
      <c r="L241">
        <v>0.99</v>
      </c>
      <c r="M241">
        <v>0.48</v>
      </c>
    </row>
    <row r="242" spans="1:13" x14ac:dyDescent="0.35">
      <c r="A242" t="s">
        <v>175</v>
      </c>
      <c r="B242" s="1">
        <v>43288</v>
      </c>
      <c r="C242" t="s">
        <v>533</v>
      </c>
      <c r="D242" t="s">
        <v>22</v>
      </c>
      <c r="E242" t="s">
        <v>538</v>
      </c>
      <c r="F242" t="s">
        <v>551</v>
      </c>
      <c r="G242" t="s">
        <v>174</v>
      </c>
      <c r="H242">
        <v>121.19</v>
      </c>
      <c r="I242">
        <v>0.09</v>
      </c>
      <c r="J242">
        <v>30</v>
      </c>
      <c r="K242">
        <v>-152.13</v>
      </c>
      <c r="L242">
        <v>7.01</v>
      </c>
      <c r="M242">
        <v>0.37</v>
      </c>
    </row>
    <row r="243" spans="1:13" x14ac:dyDescent="0.35">
      <c r="A243" t="s">
        <v>525</v>
      </c>
      <c r="B243" s="1">
        <v>43289</v>
      </c>
      <c r="C243" t="s">
        <v>535</v>
      </c>
      <c r="D243" t="s">
        <v>18</v>
      </c>
      <c r="E243" t="s">
        <v>540</v>
      </c>
      <c r="F243" t="s">
        <v>553</v>
      </c>
      <c r="G243" t="s">
        <v>524</v>
      </c>
      <c r="H243">
        <v>195.23</v>
      </c>
      <c r="I243">
        <v>0.08</v>
      </c>
      <c r="J243">
        <v>35</v>
      </c>
      <c r="K243">
        <v>-72.459999999999994</v>
      </c>
      <c r="L243">
        <v>5.57</v>
      </c>
      <c r="M243">
        <v>0.41</v>
      </c>
    </row>
    <row r="244" spans="1:13" x14ac:dyDescent="0.35">
      <c r="A244" t="s">
        <v>525</v>
      </c>
      <c r="B244" s="1">
        <v>43289</v>
      </c>
      <c r="C244" t="s">
        <v>535</v>
      </c>
      <c r="D244" t="s">
        <v>16</v>
      </c>
      <c r="E244" t="s">
        <v>540</v>
      </c>
      <c r="F244" t="s">
        <v>542</v>
      </c>
      <c r="G244" t="s">
        <v>524</v>
      </c>
      <c r="H244">
        <v>4051.8</v>
      </c>
      <c r="I244">
        <v>0.1</v>
      </c>
      <c r="J244">
        <v>35</v>
      </c>
      <c r="K244">
        <v>-684.07</v>
      </c>
      <c r="L244">
        <v>51.94</v>
      </c>
      <c r="M244">
        <v>0.63</v>
      </c>
    </row>
    <row r="245" spans="1:13" x14ac:dyDescent="0.35">
      <c r="A245" t="s">
        <v>220</v>
      </c>
      <c r="B245" s="1">
        <v>43289</v>
      </c>
      <c r="C245" t="s">
        <v>535</v>
      </c>
      <c r="D245" t="s">
        <v>15</v>
      </c>
      <c r="E245" t="s">
        <v>538</v>
      </c>
      <c r="F245" t="s">
        <v>550</v>
      </c>
      <c r="G245" t="s">
        <v>219</v>
      </c>
      <c r="H245">
        <v>385.99</v>
      </c>
      <c r="I245">
        <v>0.09</v>
      </c>
      <c r="J245">
        <v>48</v>
      </c>
      <c r="K245">
        <v>-40.72</v>
      </c>
      <c r="L245">
        <v>3.5</v>
      </c>
      <c r="M245">
        <v>0.57999999999999996</v>
      </c>
    </row>
    <row r="246" spans="1:13" x14ac:dyDescent="0.35">
      <c r="A246" t="s">
        <v>138</v>
      </c>
      <c r="B246" s="1">
        <v>43290</v>
      </c>
      <c r="C246" t="s">
        <v>534</v>
      </c>
      <c r="D246" t="s">
        <v>14</v>
      </c>
      <c r="E246" t="s">
        <v>538</v>
      </c>
      <c r="F246" t="s">
        <v>543</v>
      </c>
      <c r="G246" t="s">
        <v>137</v>
      </c>
      <c r="H246">
        <v>48.37</v>
      </c>
      <c r="I246">
        <v>0.02</v>
      </c>
      <c r="J246">
        <v>16</v>
      </c>
      <c r="K246">
        <v>18.02</v>
      </c>
      <c r="L246">
        <v>0.5</v>
      </c>
      <c r="M246">
        <v>0.36</v>
      </c>
    </row>
    <row r="247" spans="1:13" x14ac:dyDescent="0.35">
      <c r="A247" t="s">
        <v>360</v>
      </c>
      <c r="B247" s="1">
        <v>43291</v>
      </c>
      <c r="C247" t="s">
        <v>535</v>
      </c>
      <c r="D247" t="s">
        <v>26</v>
      </c>
      <c r="E247" t="s">
        <v>545</v>
      </c>
      <c r="F247" t="s">
        <v>556</v>
      </c>
      <c r="G247" t="s">
        <v>359</v>
      </c>
      <c r="H247">
        <v>154.94</v>
      </c>
      <c r="I247">
        <v>0.09</v>
      </c>
      <c r="J247">
        <v>2</v>
      </c>
      <c r="K247">
        <v>-358.43</v>
      </c>
      <c r="L247">
        <v>4</v>
      </c>
      <c r="M247">
        <v>0.76</v>
      </c>
    </row>
    <row r="248" spans="1:13" x14ac:dyDescent="0.35">
      <c r="A248" t="s">
        <v>360</v>
      </c>
      <c r="B248" s="1">
        <v>43291</v>
      </c>
      <c r="C248" t="s">
        <v>535</v>
      </c>
      <c r="D248" t="s">
        <v>11</v>
      </c>
      <c r="E248" t="s">
        <v>545</v>
      </c>
      <c r="F248" t="s">
        <v>552</v>
      </c>
      <c r="G248" t="s">
        <v>359</v>
      </c>
      <c r="H248">
        <v>1642.6420000000001</v>
      </c>
      <c r="I248">
        <v>0.08</v>
      </c>
      <c r="J248">
        <v>44</v>
      </c>
      <c r="K248">
        <v>314.83999999999997</v>
      </c>
      <c r="L248">
        <v>4.99</v>
      </c>
      <c r="M248">
        <v>0.56000000000000005</v>
      </c>
    </row>
    <row r="249" spans="1:13" x14ac:dyDescent="0.35">
      <c r="A249" t="s">
        <v>204</v>
      </c>
      <c r="B249" s="1">
        <v>43291</v>
      </c>
      <c r="C249" t="s">
        <v>534</v>
      </c>
      <c r="D249" t="s">
        <v>12</v>
      </c>
      <c r="E249" t="s">
        <v>538</v>
      </c>
      <c r="F249" t="s">
        <v>554</v>
      </c>
      <c r="G249" t="s">
        <v>203</v>
      </c>
      <c r="H249">
        <v>125.16</v>
      </c>
      <c r="I249">
        <v>0.02</v>
      </c>
      <c r="J249">
        <v>18</v>
      </c>
      <c r="K249">
        <v>-23.48</v>
      </c>
      <c r="L249">
        <v>5.14</v>
      </c>
      <c r="M249">
        <v>0.37</v>
      </c>
    </row>
    <row r="250" spans="1:13" x14ac:dyDescent="0.35">
      <c r="A250" t="s">
        <v>35</v>
      </c>
      <c r="B250" s="1">
        <v>43291</v>
      </c>
      <c r="C250" t="s">
        <v>533</v>
      </c>
      <c r="D250" t="s">
        <v>21</v>
      </c>
      <c r="E250" t="s">
        <v>538</v>
      </c>
      <c r="F250" t="s">
        <v>555</v>
      </c>
      <c r="G250" t="s">
        <v>34</v>
      </c>
      <c r="H250">
        <v>258.13</v>
      </c>
      <c r="I250">
        <v>0.03</v>
      </c>
      <c r="J250">
        <v>41</v>
      </c>
      <c r="K250">
        <v>84.1</v>
      </c>
      <c r="L250">
        <v>1.82</v>
      </c>
      <c r="M250">
        <v>0.35</v>
      </c>
    </row>
    <row r="251" spans="1:13" x14ac:dyDescent="0.35">
      <c r="A251" t="s">
        <v>111</v>
      </c>
      <c r="B251" s="1">
        <v>43292</v>
      </c>
      <c r="C251" t="s">
        <v>535</v>
      </c>
      <c r="D251" t="s">
        <v>22</v>
      </c>
      <c r="E251" t="s">
        <v>538</v>
      </c>
      <c r="F251" t="s">
        <v>551</v>
      </c>
      <c r="G251" t="s">
        <v>110</v>
      </c>
      <c r="H251">
        <v>257.97000000000003</v>
      </c>
      <c r="I251">
        <v>0.03</v>
      </c>
      <c r="J251">
        <v>19</v>
      </c>
      <c r="K251">
        <v>33.18</v>
      </c>
      <c r="L251">
        <v>4.9800000000000004</v>
      </c>
      <c r="M251">
        <v>0.4</v>
      </c>
    </row>
    <row r="252" spans="1:13" x14ac:dyDescent="0.35">
      <c r="A252" t="s">
        <v>74</v>
      </c>
      <c r="B252" s="1">
        <v>43293</v>
      </c>
      <c r="C252" t="s">
        <v>536</v>
      </c>
      <c r="D252" t="s">
        <v>22</v>
      </c>
      <c r="E252" t="s">
        <v>538</v>
      </c>
      <c r="F252" t="s">
        <v>551</v>
      </c>
      <c r="G252" t="s">
        <v>75</v>
      </c>
      <c r="H252">
        <v>356.95</v>
      </c>
      <c r="I252">
        <v>0.08</v>
      </c>
      <c r="J252">
        <v>1</v>
      </c>
      <c r="K252">
        <v>-228.24</v>
      </c>
      <c r="L252">
        <v>19.989999999999998</v>
      </c>
      <c r="M252">
        <v>0.38</v>
      </c>
    </row>
    <row r="253" spans="1:13" x14ac:dyDescent="0.35">
      <c r="A253" t="s">
        <v>74</v>
      </c>
      <c r="B253" s="1">
        <v>43293</v>
      </c>
      <c r="C253" t="s">
        <v>536</v>
      </c>
      <c r="D253" t="s">
        <v>12</v>
      </c>
      <c r="E253" t="s">
        <v>538</v>
      </c>
      <c r="F253" t="s">
        <v>554</v>
      </c>
      <c r="G253" t="s">
        <v>75</v>
      </c>
      <c r="H253">
        <v>2063.42</v>
      </c>
      <c r="I253">
        <v>0.03</v>
      </c>
      <c r="J253">
        <v>38</v>
      </c>
      <c r="K253">
        <v>989.95</v>
      </c>
      <c r="L253">
        <v>5.15</v>
      </c>
      <c r="M253">
        <v>0.36</v>
      </c>
    </row>
    <row r="254" spans="1:13" x14ac:dyDescent="0.35">
      <c r="A254" t="s">
        <v>74</v>
      </c>
      <c r="B254" s="1">
        <v>43293</v>
      </c>
      <c r="C254" t="s">
        <v>536</v>
      </c>
      <c r="D254" t="s">
        <v>26</v>
      </c>
      <c r="E254" t="s">
        <v>545</v>
      </c>
      <c r="F254" t="s">
        <v>556</v>
      </c>
      <c r="G254" t="s">
        <v>75</v>
      </c>
      <c r="H254">
        <v>112.86</v>
      </c>
      <c r="I254">
        <v>0.04</v>
      </c>
      <c r="J254">
        <v>17</v>
      </c>
      <c r="K254">
        <v>-56.78</v>
      </c>
      <c r="L254">
        <v>4.07</v>
      </c>
      <c r="M254">
        <v>0.66</v>
      </c>
    </row>
    <row r="255" spans="1:13" x14ac:dyDescent="0.35">
      <c r="A255" t="s">
        <v>419</v>
      </c>
      <c r="B255" s="1">
        <v>43293</v>
      </c>
      <c r="C255" t="s">
        <v>537</v>
      </c>
      <c r="D255" t="s">
        <v>15</v>
      </c>
      <c r="E255" t="s">
        <v>538</v>
      </c>
      <c r="F255" t="s">
        <v>550</v>
      </c>
      <c r="G255" t="s">
        <v>420</v>
      </c>
      <c r="H255">
        <v>382.19</v>
      </c>
      <c r="I255">
        <v>0.03</v>
      </c>
      <c r="J255">
        <v>24</v>
      </c>
      <c r="K255">
        <v>11.39</v>
      </c>
      <c r="L255">
        <v>6.75</v>
      </c>
      <c r="M255">
        <v>0.52</v>
      </c>
    </row>
    <row r="256" spans="1:13" x14ac:dyDescent="0.35">
      <c r="A256" t="s">
        <v>419</v>
      </c>
      <c r="B256" s="1">
        <v>43293</v>
      </c>
      <c r="C256" t="s">
        <v>537</v>
      </c>
      <c r="D256" t="s">
        <v>20</v>
      </c>
      <c r="E256" t="s">
        <v>540</v>
      </c>
      <c r="F256" t="s">
        <v>547</v>
      </c>
      <c r="G256" t="s">
        <v>420</v>
      </c>
      <c r="H256">
        <v>2573.92</v>
      </c>
      <c r="I256">
        <v>7.0000000000000007E-2</v>
      </c>
      <c r="J256">
        <v>17</v>
      </c>
      <c r="K256">
        <v>117.23</v>
      </c>
      <c r="L256">
        <v>143.71</v>
      </c>
      <c r="M256">
        <v>0.55000000000000004</v>
      </c>
    </row>
    <row r="257" spans="1:13" x14ac:dyDescent="0.35">
      <c r="A257" t="s">
        <v>419</v>
      </c>
      <c r="B257" s="1">
        <v>43293</v>
      </c>
      <c r="C257" t="s">
        <v>537</v>
      </c>
      <c r="D257" t="s">
        <v>13</v>
      </c>
      <c r="E257" t="s">
        <v>545</v>
      </c>
      <c r="F257" t="s">
        <v>549</v>
      </c>
      <c r="G257" t="s">
        <v>420</v>
      </c>
      <c r="H257">
        <v>727.64</v>
      </c>
      <c r="I257">
        <v>0.01</v>
      </c>
      <c r="J257">
        <v>40</v>
      </c>
      <c r="K257">
        <v>27.64</v>
      </c>
      <c r="L257">
        <v>8.51</v>
      </c>
      <c r="M257">
        <v>0.4</v>
      </c>
    </row>
    <row r="258" spans="1:13" x14ac:dyDescent="0.35">
      <c r="A258" t="s">
        <v>419</v>
      </c>
      <c r="B258" s="1">
        <v>43293</v>
      </c>
      <c r="C258" t="s">
        <v>537</v>
      </c>
      <c r="D258" t="s">
        <v>11</v>
      </c>
      <c r="E258" t="s">
        <v>545</v>
      </c>
      <c r="F258" t="s">
        <v>552</v>
      </c>
      <c r="G258" t="s">
        <v>420</v>
      </c>
      <c r="H258">
        <v>2564.5774999999999</v>
      </c>
      <c r="I258">
        <v>7.0000000000000007E-2</v>
      </c>
      <c r="J258">
        <v>25</v>
      </c>
      <c r="K258">
        <v>331.29</v>
      </c>
      <c r="L258">
        <v>7.69</v>
      </c>
      <c r="M258">
        <v>0.57999999999999996</v>
      </c>
    </row>
    <row r="259" spans="1:13" x14ac:dyDescent="0.35">
      <c r="A259" t="s">
        <v>419</v>
      </c>
      <c r="B259" s="1">
        <v>43293</v>
      </c>
      <c r="C259" t="s">
        <v>537</v>
      </c>
      <c r="D259" t="s">
        <v>11</v>
      </c>
      <c r="E259" t="s">
        <v>545</v>
      </c>
      <c r="F259" t="s">
        <v>552</v>
      </c>
      <c r="G259" t="s">
        <v>420</v>
      </c>
      <c r="H259">
        <v>2795.0039999999999</v>
      </c>
      <c r="I259">
        <v>0.02</v>
      </c>
      <c r="J259">
        <v>16</v>
      </c>
      <c r="K259">
        <v>311.08999999999997</v>
      </c>
      <c r="L259">
        <v>8.99</v>
      </c>
      <c r="M259">
        <v>0.57999999999999996</v>
      </c>
    </row>
    <row r="260" spans="1:13" x14ac:dyDescent="0.35">
      <c r="A260" t="s">
        <v>154</v>
      </c>
      <c r="B260" s="1">
        <v>43293</v>
      </c>
      <c r="C260" t="s">
        <v>537</v>
      </c>
      <c r="D260" t="s">
        <v>14</v>
      </c>
      <c r="E260" t="s">
        <v>538</v>
      </c>
      <c r="F260" t="s">
        <v>543</v>
      </c>
      <c r="G260" t="s">
        <v>155</v>
      </c>
      <c r="H260">
        <v>78.47</v>
      </c>
      <c r="I260">
        <v>0.06</v>
      </c>
      <c r="J260">
        <v>27</v>
      </c>
      <c r="K260">
        <v>17.989999999999998</v>
      </c>
      <c r="L260">
        <v>0.99</v>
      </c>
      <c r="M260">
        <v>0.36</v>
      </c>
    </row>
    <row r="261" spans="1:13" x14ac:dyDescent="0.35">
      <c r="A261" t="s">
        <v>154</v>
      </c>
      <c r="B261" s="1">
        <v>43293</v>
      </c>
      <c r="C261" t="s">
        <v>537</v>
      </c>
      <c r="D261" t="s">
        <v>12</v>
      </c>
      <c r="E261" t="s">
        <v>538</v>
      </c>
      <c r="F261" t="s">
        <v>554</v>
      </c>
      <c r="G261" t="s">
        <v>155</v>
      </c>
      <c r="H261">
        <v>108.42</v>
      </c>
      <c r="I261">
        <v>0.02</v>
      </c>
      <c r="J261">
        <v>16</v>
      </c>
      <c r="K261">
        <v>-50.82</v>
      </c>
      <c r="L261">
        <v>6.81</v>
      </c>
      <c r="M261">
        <v>0.36</v>
      </c>
    </row>
    <row r="262" spans="1:13" x14ac:dyDescent="0.35">
      <c r="A262" t="s">
        <v>463</v>
      </c>
      <c r="B262" s="1">
        <v>43301</v>
      </c>
      <c r="C262" t="s">
        <v>534</v>
      </c>
      <c r="D262" t="s">
        <v>22</v>
      </c>
      <c r="E262" t="s">
        <v>538</v>
      </c>
      <c r="F262" t="s">
        <v>551</v>
      </c>
      <c r="G262" t="s">
        <v>464</v>
      </c>
      <c r="H262">
        <v>139.54</v>
      </c>
      <c r="I262">
        <v>0.01</v>
      </c>
      <c r="J262">
        <v>26</v>
      </c>
      <c r="K262">
        <v>-54.08</v>
      </c>
      <c r="L262">
        <v>4.95</v>
      </c>
      <c r="M262">
        <v>0.37</v>
      </c>
    </row>
    <row r="263" spans="1:13" x14ac:dyDescent="0.35">
      <c r="A263" t="s">
        <v>463</v>
      </c>
      <c r="B263" s="1">
        <v>43301</v>
      </c>
      <c r="C263" t="s">
        <v>534</v>
      </c>
      <c r="D263" t="s">
        <v>18</v>
      </c>
      <c r="E263" t="s">
        <v>540</v>
      </c>
      <c r="F263" t="s">
        <v>553</v>
      </c>
      <c r="G263" t="s">
        <v>464</v>
      </c>
      <c r="H263">
        <v>199.52</v>
      </c>
      <c r="I263">
        <v>0.08</v>
      </c>
      <c r="J263">
        <v>28</v>
      </c>
      <c r="K263">
        <v>13.44</v>
      </c>
      <c r="L263">
        <v>4</v>
      </c>
      <c r="M263">
        <v>0.42</v>
      </c>
    </row>
    <row r="264" spans="1:13" x14ac:dyDescent="0.35">
      <c r="A264" t="s">
        <v>463</v>
      </c>
      <c r="B264" s="1">
        <v>43301</v>
      </c>
      <c r="C264" t="s">
        <v>534</v>
      </c>
      <c r="D264" t="s">
        <v>21</v>
      </c>
      <c r="E264" t="s">
        <v>538</v>
      </c>
      <c r="F264" t="s">
        <v>555</v>
      </c>
      <c r="G264" t="s">
        <v>464</v>
      </c>
      <c r="H264">
        <v>85.66</v>
      </c>
      <c r="I264">
        <v>0.04</v>
      </c>
      <c r="J264">
        <v>39</v>
      </c>
      <c r="K264">
        <v>6.67</v>
      </c>
      <c r="L264">
        <v>0.78</v>
      </c>
      <c r="M264">
        <v>0.52</v>
      </c>
    </row>
    <row r="265" spans="1:13" x14ac:dyDescent="0.35">
      <c r="A265" t="s">
        <v>281</v>
      </c>
      <c r="B265" s="1">
        <v>43303</v>
      </c>
      <c r="C265" t="s">
        <v>534</v>
      </c>
      <c r="D265" t="s">
        <v>26</v>
      </c>
      <c r="E265" t="s">
        <v>545</v>
      </c>
      <c r="F265" t="s">
        <v>556</v>
      </c>
      <c r="G265" t="s">
        <v>280</v>
      </c>
      <c r="H265">
        <v>136.68</v>
      </c>
      <c r="I265">
        <v>0.01</v>
      </c>
      <c r="J265">
        <v>4</v>
      </c>
      <c r="K265">
        <v>-125.16</v>
      </c>
      <c r="L265">
        <v>4</v>
      </c>
      <c r="M265">
        <v>0.75</v>
      </c>
    </row>
    <row r="266" spans="1:13" x14ac:dyDescent="0.35">
      <c r="A266" t="s">
        <v>281</v>
      </c>
      <c r="B266" s="1">
        <v>43303</v>
      </c>
      <c r="C266" t="s">
        <v>534</v>
      </c>
      <c r="D266" t="s">
        <v>18</v>
      </c>
      <c r="E266" t="s">
        <v>540</v>
      </c>
      <c r="F266" t="s">
        <v>553</v>
      </c>
      <c r="G266" t="s">
        <v>280</v>
      </c>
      <c r="H266">
        <v>1452.48</v>
      </c>
      <c r="I266">
        <v>7.0000000000000007E-2</v>
      </c>
      <c r="J266">
        <v>24</v>
      </c>
      <c r="K266">
        <v>376.52</v>
      </c>
      <c r="L266">
        <v>10.84</v>
      </c>
      <c r="M266">
        <v>0.63</v>
      </c>
    </row>
    <row r="267" spans="1:13" x14ac:dyDescent="0.35">
      <c r="A267" t="s">
        <v>281</v>
      </c>
      <c r="B267" s="1">
        <v>43303</v>
      </c>
      <c r="C267" t="s">
        <v>534</v>
      </c>
      <c r="D267" t="s">
        <v>25</v>
      </c>
      <c r="E267" t="s">
        <v>538</v>
      </c>
      <c r="F267" t="s">
        <v>539</v>
      </c>
      <c r="G267" t="s">
        <v>280</v>
      </c>
      <c r="H267">
        <v>3555.29</v>
      </c>
      <c r="I267">
        <v>0.09</v>
      </c>
      <c r="J267">
        <v>19</v>
      </c>
      <c r="K267">
        <v>183.28</v>
      </c>
      <c r="L267">
        <v>19.989999999999998</v>
      </c>
      <c r="M267">
        <v>0.71</v>
      </c>
    </row>
    <row r="268" spans="1:13" x14ac:dyDescent="0.35">
      <c r="A268" t="s">
        <v>189</v>
      </c>
      <c r="B268" s="1">
        <v>43303</v>
      </c>
      <c r="C268" t="s">
        <v>534</v>
      </c>
      <c r="D268" t="s">
        <v>22</v>
      </c>
      <c r="E268" t="s">
        <v>538</v>
      </c>
      <c r="F268" t="s">
        <v>551</v>
      </c>
      <c r="G268" t="s">
        <v>188</v>
      </c>
      <c r="H268">
        <v>252.79</v>
      </c>
      <c r="I268">
        <v>0.09</v>
      </c>
      <c r="J268">
        <v>9</v>
      </c>
      <c r="K268">
        <v>58.23</v>
      </c>
      <c r="L268">
        <v>2.99</v>
      </c>
      <c r="M268">
        <v>0.35</v>
      </c>
    </row>
    <row r="269" spans="1:13" x14ac:dyDescent="0.35">
      <c r="A269" t="s">
        <v>376</v>
      </c>
      <c r="B269" s="1">
        <v>43306</v>
      </c>
      <c r="C269" t="s">
        <v>535</v>
      </c>
      <c r="D269" t="s">
        <v>22</v>
      </c>
      <c r="E269" t="s">
        <v>538</v>
      </c>
      <c r="F269" t="s">
        <v>551</v>
      </c>
      <c r="G269" t="s">
        <v>375</v>
      </c>
      <c r="H269">
        <v>113.5</v>
      </c>
      <c r="I269">
        <v>0.05</v>
      </c>
      <c r="J269">
        <v>15</v>
      </c>
      <c r="K269">
        <v>-46.35</v>
      </c>
      <c r="L269">
        <v>6.28</v>
      </c>
      <c r="M269">
        <v>0.4</v>
      </c>
    </row>
    <row r="270" spans="1:13" x14ac:dyDescent="0.35">
      <c r="A270" t="s">
        <v>454</v>
      </c>
      <c r="B270" s="1">
        <v>43307</v>
      </c>
      <c r="C270" t="s">
        <v>535</v>
      </c>
      <c r="D270" t="s">
        <v>11</v>
      </c>
      <c r="E270" t="s">
        <v>545</v>
      </c>
      <c r="F270" t="s">
        <v>552</v>
      </c>
      <c r="G270" t="s">
        <v>455</v>
      </c>
      <c r="H270">
        <v>2766.8180000000002</v>
      </c>
      <c r="I270">
        <v>0.03</v>
      </c>
      <c r="J270">
        <v>47</v>
      </c>
      <c r="K270">
        <v>846.95</v>
      </c>
      <c r="L270">
        <v>5.92</v>
      </c>
      <c r="M270">
        <v>0.55000000000000004</v>
      </c>
    </row>
    <row r="271" spans="1:13" x14ac:dyDescent="0.35">
      <c r="A271" t="s">
        <v>412</v>
      </c>
      <c r="B271" s="1">
        <v>43307</v>
      </c>
      <c r="C271" t="s">
        <v>534</v>
      </c>
      <c r="D271" t="s">
        <v>15</v>
      </c>
      <c r="E271" t="s">
        <v>538</v>
      </c>
      <c r="F271" t="s">
        <v>550</v>
      </c>
      <c r="G271" t="s">
        <v>409</v>
      </c>
      <c r="H271">
        <v>1925.83</v>
      </c>
      <c r="I271">
        <v>0.09</v>
      </c>
      <c r="J271">
        <v>10</v>
      </c>
      <c r="K271">
        <v>359.83</v>
      </c>
      <c r="L271">
        <v>0.99</v>
      </c>
      <c r="M271">
        <v>0.55000000000000004</v>
      </c>
    </row>
    <row r="272" spans="1:13" x14ac:dyDescent="0.35">
      <c r="A272" t="s">
        <v>411</v>
      </c>
      <c r="B272" s="1">
        <v>43310</v>
      </c>
      <c r="C272" t="s">
        <v>537</v>
      </c>
      <c r="D272" t="s">
        <v>22</v>
      </c>
      <c r="E272" t="s">
        <v>538</v>
      </c>
      <c r="F272" t="s">
        <v>551</v>
      </c>
      <c r="G272" t="s">
        <v>409</v>
      </c>
      <c r="H272">
        <v>185.64</v>
      </c>
      <c r="I272">
        <v>0.1</v>
      </c>
      <c r="J272">
        <v>25</v>
      </c>
      <c r="K272">
        <v>-69.87</v>
      </c>
      <c r="L272">
        <v>6.28</v>
      </c>
      <c r="M272">
        <v>0.4</v>
      </c>
    </row>
    <row r="273" spans="1:13" x14ac:dyDescent="0.35">
      <c r="A273" t="s">
        <v>411</v>
      </c>
      <c r="B273" s="1">
        <v>43310</v>
      </c>
      <c r="C273" t="s">
        <v>537</v>
      </c>
      <c r="D273" t="s">
        <v>12</v>
      </c>
      <c r="E273" t="s">
        <v>538</v>
      </c>
      <c r="F273" t="s">
        <v>554</v>
      </c>
      <c r="G273" t="s">
        <v>409</v>
      </c>
      <c r="H273">
        <v>225.98</v>
      </c>
      <c r="I273">
        <v>0.01</v>
      </c>
      <c r="J273">
        <v>34</v>
      </c>
      <c r="K273">
        <v>-135.74</v>
      </c>
      <c r="L273">
        <v>7.86</v>
      </c>
      <c r="M273">
        <v>0.37</v>
      </c>
    </row>
    <row r="274" spans="1:13" x14ac:dyDescent="0.35">
      <c r="A274" t="s">
        <v>275</v>
      </c>
      <c r="B274" s="1">
        <v>43311</v>
      </c>
      <c r="C274" t="s">
        <v>533</v>
      </c>
      <c r="D274" t="s">
        <v>22</v>
      </c>
      <c r="E274" t="s">
        <v>538</v>
      </c>
      <c r="F274" t="s">
        <v>551</v>
      </c>
      <c r="G274" t="s">
        <v>272</v>
      </c>
      <c r="H274">
        <v>404.24</v>
      </c>
      <c r="I274">
        <v>0.02</v>
      </c>
      <c r="J274">
        <v>23</v>
      </c>
      <c r="K274">
        <v>-76.989999999999995</v>
      </c>
      <c r="L274">
        <v>13.18</v>
      </c>
      <c r="M274">
        <v>0.37</v>
      </c>
    </row>
    <row r="275" spans="1:13" x14ac:dyDescent="0.35">
      <c r="A275" t="s">
        <v>275</v>
      </c>
      <c r="B275" s="1">
        <v>43311</v>
      </c>
      <c r="C275" t="s">
        <v>533</v>
      </c>
      <c r="D275" t="s">
        <v>18</v>
      </c>
      <c r="E275" t="s">
        <v>540</v>
      </c>
      <c r="F275" t="s">
        <v>553</v>
      </c>
      <c r="G275" t="s">
        <v>272</v>
      </c>
      <c r="H275">
        <v>1381.88</v>
      </c>
      <c r="I275">
        <v>0.09</v>
      </c>
      <c r="J275">
        <v>32</v>
      </c>
      <c r="K275">
        <v>598.20000000000005</v>
      </c>
      <c r="L275">
        <v>6.77</v>
      </c>
      <c r="M275">
        <v>0.44</v>
      </c>
    </row>
    <row r="276" spans="1:13" x14ac:dyDescent="0.35">
      <c r="A276" t="s">
        <v>422</v>
      </c>
      <c r="B276" s="1">
        <v>43314</v>
      </c>
      <c r="C276" t="s">
        <v>537</v>
      </c>
      <c r="D276" t="s">
        <v>9</v>
      </c>
      <c r="E276" t="s">
        <v>538</v>
      </c>
      <c r="F276" t="s">
        <v>548</v>
      </c>
      <c r="G276" t="s">
        <v>420</v>
      </c>
      <c r="H276">
        <v>156.15</v>
      </c>
      <c r="I276">
        <v>0.08</v>
      </c>
      <c r="J276">
        <v>10</v>
      </c>
      <c r="K276">
        <v>-37.6</v>
      </c>
      <c r="L276">
        <v>7.42</v>
      </c>
      <c r="M276">
        <v>0.56000000000000005</v>
      </c>
    </row>
    <row r="277" spans="1:13" x14ac:dyDescent="0.35">
      <c r="A277" t="s">
        <v>314</v>
      </c>
      <c r="B277" s="1">
        <v>43315</v>
      </c>
      <c r="C277" t="s">
        <v>537</v>
      </c>
      <c r="D277" t="s">
        <v>18</v>
      </c>
      <c r="E277" t="s">
        <v>540</v>
      </c>
      <c r="F277" t="s">
        <v>553</v>
      </c>
      <c r="G277" t="s">
        <v>313</v>
      </c>
      <c r="H277">
        <v>119.63</v>
      </c>
      <c r="I277">
        <v>0.03</v>
      </c>
      <c r="J277">
        <v>22</v>
      </c>
      <c r="K277">
        <v>-27.39</v>
      </c>
      <c r="L277">
        <v>3.63</v>
      </c>
      <c r="M277">
        <v>0.51</v>
      </c>
    </row>
    <row r="278" spans="1:13" x14ac:dyDescent="0.35">
      <c r="A278" t="s">
        <v>314</v>
      </c>
      <c r="B278" s="1">
        <v>43315</v>
      </c>
      <c r="C278" t="s">
        <v>537</v>
      </c>
      <c r="D278" t="s">
        <v>12</v>
      </c>
      <c r="E278" t="s">
        <v>538</v>
      </c>
      <c r="F278" t="s">
        <v>554</v>
      </c>
      <c r="G278" t="s">
        <v>313</v>
      </c>
      <c r="H278">
        <v>177.92</v>
      </c>
      <c r="I278">
        <v>0</v>
      </c>
      <c r="J278">
        <v>40</v>
      </c>
      <c r="K278">
        <v>-167.92</v>
      </c>
      <c r="L278">
        <v>6.72</v>
      </c>
      <c r="M278">
        <v>0.4</v>
      </c>
    </row>
    <row r="279" spans="1:13" x14ac:dyDescent="0.35">
      <c r="A279" t="s">
        <v>493</v>
      </c>
      <c r="B279" s="1">
        <v>43315</v>
      </c>
      <c r="C279" t="s">
        <v>535</v>
      </c>
      <c r="D279" t="s">
        <v>13</v>
      </c>
      <c r="E279" t="s">
        <v>545</v>
      </c>
      <c r="F279" t="s">
        <v>549</v>
      </c>
      <c r="G279" t="s">
        <v>494</v>
      </c>
      <c r="H279">
        <v>2451.41</v>
      </c>
      <c r="I279">
        <v>7.0000000000000007E-2</v>
      </c>
      <c r="J279">
        <v>50</v>
      </c>
      <c r="K279">
        <v>773.36</v>
      </c>
      <c r="L279">
        <v>10.17</v>
      </c>
      <c r="M279">
        <v>0.37</v>
      </c>
    </row>
    <row r="280" spans="1:13" x14ac:dyDescent="0.35">
      <c r="A280" t="s">
        <v>493</v>
      </c>
      <c r="B280" s="1">
        <v>43315</v>
      </c>
      <c r="C280" t="s">
        <v>535</v>
      </c>
      <c r="D280" t="s">
        <v>13</v>
      </c>
      <c r="E280" t="s">
        <v>545</v>
      </c>
      <c r="F280" t="s">
        <v>549</v>
      </c>
      <c r="G280" t="s">
        <v>494</v>
      </c>
      <c r="H280">
        <v>851.24</v>
      </c>
      <c r="I280">
        <v>0.1</v>
      </c>
      <c r="J280">
        <v>11</v>
      </c>
      <c r="K280">
        <v>-149.46</v>
      </c>
      <c r="L280">
        <v>33.6</v>
      </c>
      <c r="M280">
        <v>0.37</v>
      </c>
    </row>
    <row r="281" spans="1:13" x14ac:dyDescent="0.35">
      <c r="A281" t="s">
        <v>294</v>
      </c>
      <c r="B281" s="1">
        <v>43315</v>
      </c>
      <c r="C281" t="s">
        <v>533</v>
      </c>
      <c r="D281" t="s">
        <v>18</v>
      </c>
      <c r="E281" t="s">
        <v>540</v>
      </c>
      <c r="F281" t="s">
        <v>553</v>
      </c>
      <c r="G281" t="s">
        <v>293</v>
      </c>
      <c r="H281">
        <v>25.52</v>
      </c>
      <c r="I281">
        <v>0.01</v>
      </c>
      <c r="J281">
        <v>2</v>
      </c>
      <c r="K281">
        <v>21.77</v>
      </c>
      <c r="L281">
        <v>6.22</v>
      </c>
      <c r="M281">
        <v>0.55000000000000004</v>
      </c>
    </row>
    <row r="282" spans="1:13" x14ac:dyDescent="0.35">
      <c r="A282" t="s">
        <v>215</v>
      </c>
      <c r="B282" s="1">
        <v>43315</v>
      </c>
      <c r="C282" t="s">
        <v>537</v>
      </c>
      <c r="D282" t="s">
        <v>22</v>
      </c>
      <c r="E282" t="s">
        <v>538</v>
      </c>
      <c r="F282" t="s">
        <v>551</v>
      </c>
      <c r="G282" t="s">
        <v>216</v>
      </c>
      <c r="H282">
        <v>1246.52</v>
      </c>
      <c r="I282">
        <v>0.01</v>
      </c>
      <c r="J282">
        <v>50</v>
      </c>
      <c r="K282">
        <v>52.48</v>
      </c>
      <c r="L282">
        <v>12.98</v>
      </c>
      <c r="M282">
        <v>0.39</v>
      </c>
    </row>
    <row r="283" spans="1:13" x14ac:dyDescent="0.35">
      <c r="A283" t="s">
        <v>336</v>
      </c>
      <c r="B283" s="1">
        <v>43315</v>
      </c>
      <c r="C283" t="s">
        <v>533</v>
      </c>
      <c r="D283" t="s">
        <v>26</v>
      </c>
      <c r="E283" t="s">
        <v>545</v>
      </c>
      <c r="F283" t="s">
        <v>556</v>
      </c>
      <c r="G283" t="s">
        <v>335</v>
      </c>
      <c r="H283">
        <v>105.85</v>
      </c>
      <c r="I283">
        <v>0.1</v>
      </c>
      <c r="J283">
        <v>17</v>
      </c>
      <c r="K283">
        <v>-44.86</v>
      </c>
      <c r="L283">
        <v>2.74</v>
      </c>
      <c r="M283">
        <v>0.71</v>
      </c>
    </row>
    <row r="284" spans="1:13" x14ac:dyDescent="0.35">
      <c r="A284" t="s">
        <v>336</v>
      </c>
      <c r="B284" s="1">
        <v>43315</v>
      </c>
      <c r="C284" t="s">
        <v>533</v>
      </c>
      <c r="D284" t="s">
        <v>19</v>
      </c>
      <c r="E284" t="s">
        <v>538</v>
      </c>
      <c r="F284" t="s">
        <v>557</v>
      </c>
      <c r="G284" t="s">
        <v>335</v>
      </c>
      <c r="H284">
        <v>179.33</v>
      </c>
      <c r="I284">
        <v>0</v>
      </c>
      <c r="J284">
        <v>19</v>
      </c>
      <c r="K284">
        <v>-58.76</v>
      </c>
      <c r="L284">
        <v>8.2899999999999991</v>
      </c>
      <c r="M284">
        <v>0.38</v>
      </c>
    </row>
    <row r="285" spans="1:13" x14ac:dyDescent="0.35">
      <c r="A285" t="s">
        <v>350</v>
      </c>
      <c r="B285" s="1">
        <v>43316</v>
      </c>
      <c r="C285" t="s">
        <v>537</v>
      </c>
      <c r="D285" t="s">
        <v>15</v>
      </c>
      <c r="E285" t="s">
        <v>538</v>
      </c>
      <c r="F285" t="s">
        <v>550</v>
      </c>
      <c r="G285" t="s">
        <v>351</v>
      </c>
      <c r="H285">
        <v>1562.97</v>
      </c>
      <c r="I285">
        <v>0.01</v>
      </c>
      <c r="J285">
        <v>34</v>
      </c>
      <c r="K285">
        <v>501.59</v>
      </c>
      <c r="L285">
        <v>4.62</v>
      </c>
      <c r="M285">
        <v>0.56000000000000005</v>
      </c>
    </row>
    <row r="286" spans="1:13" x14ac:dyDescent="0.35">
      <c r="A286" t="s">
        <v>253</v>
      </c>
      <c r="B286" s="1">
        <v>43316</v>
      </c>
      <c r="C286" t="s">
        <v>534</v>
      </c>
      <c r="D286" t="s">
        <v>18</v>
      </c>
      <c r="E286" t="s">
        <v>540</v>
      </c>
      <c r="F286" t="s">
        <v>553</v>
      </c>
      <c r="G286" t="s">
        <v>252</v>
      </c>
      <c r="H286">
        <v>894.64</v>
      </c>
      <c r="I286">
        <v>0.01</v>
      </c>
      <c r="J286">
        <v>31</v>
      </c>
      <c r="K286">
        <v>-27.79</v>
      </c>
      <c r="L286">
        <v>19.46</v>
      </c>
      <c r="M286">
        <v>0.44</v>
      </c>
    </row>
    <row r="287" spans="1:13" x14ac:dyDescent="0.35">
      <c r="A287" t="s">
        <v>405</v>
      </c>
      <c r="B287" s="1">
        <v>43317</v>
      </c>
      <c r="C287" t="s">
        <v>535</v>
      </c>
      <c r="D287" t="s">
        <v>19</v>
      </c>
      <c r="E287" t="s">
        <v>538</v>
      </c>
      <c r="F287" t="s">
        <v>557</v>
      </c>
      <c r="G287" t="s">
        <v>404</v>
      </c>
      <c r="H287">
        <v>260.39</v>
      </c>
      <c r="I287">
        <v>0.09</v>
      </c>
      <c r="J287">
        <v>15</v>
      </c>
      <c r="K287">
        <v>-48.57</v>
      </c>
      <c r="L287">
        <v>12.39</v>
      </c>
      <c r="M287">
        <v>0.35</v>
      </c>
    </row>
    <row r="288" spans="1:13" x14ac:dyDescent="0.35">
      <c r="A288" t="s">
        <v>346</v>
      </c>
      <c r="B288" s="1">
        <v>43317</v>
      </c>
      <c r="C288" t="s">
        <v>533</v>
      </c>
      <c r="D288" t="s">
        <v>19</v>
      </c>
      <c r="E288" t="s">
        <v>538</v>
      </c>
      <c r="F288" t="s">
        <v>557</v>
      </c>
      <c r="G288" t="s">
        <v>344</v>
      </c>
      <c r="H288">
        <v>171.52</v>
      </c>
      <c r="I288">
        <v>0.1</v>
      </c>
      <c r="J288">
        <v>32</v>
      </c>
      <c r="K288">
        <v>46.61</v>
      </c>
      <c r="L288">
        <v>1.39</v>
      </c>
      <c r="M288">
        <v>0.38</v>
      </c>
    </row>
    <row r="289" spans="1:13" x14ac:dyDescent="0.35">
      <c r="A289" t="s">
        <v>160</v>
      </c>
      <c r="B289" s="1">
        <v>43317</v>
      </c>
      <c r="C289" t="s">
        <v>537</v>
      </c>
      <c r="D289" t="s">
        <v>16</v>
      </c>
      <c r="E289" t="s">
        <v>540</v>
      </c>
      <c r="F289" t="s">
        <v>542</v>
      </c>
      <c r="G289" t="s">
        <v>159</v>
      </c>
      <c r="H289">
        <v>4201.47</v>
      </c>
      <c r="I289">
        <v>0.04</v>
      </c>
      <c r="J289">
        <v>19</v>
      </c>
      <c r="K289">
        <v>199.25</v>
      </c>
      <c r="L289">
        <v>52.2</v>
      </c>
      <c r="M289">
        <v>0.64</v>
      </c>
    </row>
    <row r="290" spans="1:13" x14ac:dyDescent="0.35">
      <c r="A290" t="s">
        <v>160</v>
      </c>
      <c r="B290" s="1">
        <v>43317</v>
      </c>
      <c r="C290" t="s">
        <v>537</v>
      </c>
      <c r="D290" t="s">
        <v>10</v>
      </c>
      <c r="E290" t="s">
        <v>538</v>
      </c>
      <c r="F290" t="s">
        <v>544</v>
      </c>
      <c r="G290" t="s">
        <v>159</v>
      </c>
      <c r="H290">
        <v>55.66</v>
      </c>
      <c r="I290">
        <v>0.08</v>
      </c>
      <c r="J290">
        <v>17</v>
      </c>
      <c r="K290">
        <v>-21.4</v>
      </c>
      <c r="L290">
        <v>2.31</v>
      </c>
      <c r="M290">
        <v>0.56000000000000005</v>
      </c>
    </row>
    <row r="291" spans="1:13" x14ac:dyDescent="0.35">
      <c r="A291" t="s">
        <v>368</v>
      </c>
      <c r="B291" s="1">
        <v>43318</v>
      </c>
      <c r="C291" t="s">
        <v>536</v>
      </c>
      <c r="D291" t="s">
        <v>12</v>
      </c>
      <c r="E291" t="s">
        <v>538</v>
      </c>
      <c r="F291" t="s">
        <v>554</v>
      </c>
      <c r="G291" t="s">
        <v>369</v>
      </c>
      <c r="H291">
        <v>115.54</v>
      </c>
      <c r="I291">
        <v>0.04</v>
      </c>
      <c r="J291">
        <v>24</v>
      </c>
      <c r="K291">
        <v>43.35</v>
      </c>
      <c r="L291">
        <v>0.8</v>
      </c>
      <c r="M291">
        <v>0.36</v>
      </c>
    </row>
    <row r="292" spans="1:13" x14ac:dyDescent="0.35">
      <c r="A292" t="s">
        <v>248</v>
      </c>
      <c r="B292" s="1">
        <v>43320</v>
      </c>
      <c r="C292" t="s">
        <v>534</v>
      </c>
      <c r="D292" t="s">
        <v>12</v>
      </c>
      <c r="E292" t="s">
        <v>538</v>
      </c>
      <c r="F292" t="s">
        <v>554</v>
      </c>
      <c r="G292" t="s">
        <v>247</v>
      </c>
      <c r="H292">
        <v>270.23</v>
      </c>
      <c r="I292">
        <v>0.08</v>
      </c>
      <c r="J292">
        <v>12</v>
      </c>
      <c r="K292">
        <v>52.02</v>
      </c>
      <c r="L292">
        <v>5.47</v>
      </c>
      <c r="M292">
        <v>0.39</v>
      </c>
    </row>
    <row r="293" spans="1:13" x14ac:dyDescent="0.35">
      <c r="A293" t="s">
        <v>248</v>
      </c>
      <c r="B293" s="1">
        <v>43320</v>
      </c>
      <c r="C293" t="s">
        <v>534</v>
      </c>
      <c r="D293" t="s">
        <v>25</v>
      </c>
      <c r="E293" t="s">
        <v>538</v>
      </c>
      <c r="F293" t="s">
        <v>539</v>
      </c>
      <c r="G293" t="s">
        <v>247</v>
      </c>
      <c r="H293">
        <v>660.27</v>
      </c>
      <c r="I293">
        <v>0.09</v>
      </c>
      <c r="J293">
        <v>20</v>
      </c>
      <c r="K293">
        <v>63.83</v>
      </c>
      <c r="L293">
        <v>5.49</v>
      </c>
      <c r="M293">
        <v>0.6</v>
      </c>
    </row>
    <row r="294" spans="1:13" x14ac:dyDescent="0.35">
      <c r="A294" t="s">
        <v>487</v>
      </c>
      <c r="B294" s="1">
        <v>43321</v>
      </c>
      <c r="C294" t="s">
        <v>535</v>
      </c>
      <c r="D294" t="s">
        <v>26</v>
      </c>
      <c r="E294" t="s">
        <v>545</v>
      </c>
      <c r="F294" t="s">
        <v>556</v>
      </c>
      <c r="G294" t="s">
        <v>488</v>
      </c>
      <c r="H294">
        <v>357.43</v>
      </c>
      <c r="I294">
        <v>0.08</v>
      </c>
      <c r="J294">
        <v>17</v>
      </c>
      <c r="K294">
        <v>-135.97999999999999</v>
      </c>
      <c r="L294">
        <v>6.5</v>
      </c>
      <c r="M294">
        <v>0.78</v>
      </c>
    </row>
    <row r="295" spans="1:13" x14ac:dyDescent="0.35">
      <c r="A295" t="s">
        <v>487</v>
      </c>
      <c r="B295" s="1">
        <v>43321</v>
      </c>
      <c r="C295" t="s">
        <v>535</v>
      </c>
      <c r="D295" t="s">
        <v>25</v>
      </c>
      <c r="E295" t="s">
        <v>538</v>
      </c>
      <c r="F295" t="s">
        <v>539</v>
      </c>
      <c r="G295" t="s">
        <v>488</v>
      </c>
      <c r="H295">
        <v>4754.08</v>
      </c>
      <c r="I295">
        <v>0</v>
      </c>
      <c r="J295">
        <v>21</v>
      </c>
      <c r="K295">
        <v>299.88</v>
      </c>
      <c r="L295">
        <v>28.66</v>
      </c>
      <c r="M295">
        <v>0.72</v>
      </c>
    </row>
    <row r="296" spans="1:13" x14ac:dyDescent="0.35">
      <c r="A296" t="s">
        <v>230</v>
      </c>
      <c r="B296" s="1">
        <v>43321</v>
      </c>
      <c r="C296" t="s">
        <v>533</v>
      </c>
      <c r="D296" t="s">
        <v>20</v>
      </c>
      <c r="E296" t="s">
        <v>540</v>
      </c>
      <c r="F296" t="s">
        <v>547</v>
      </c>
      <c r="G296" t="s">
        <v>228</v>
      </c>
      <c r="H296">
        <v>1207.08</v>
      </c>
      <c r="I296">
        <v>0.05</v>
      </c>
      <c r="J296">
        <v>12</v>
      </c>
      <c r="K296">
        <v>-351.3</v>
      </c>
      <c r="L296">
        <v>58.2</v>
      </c>
      <c r="M296">
        <v>0.57999999999999996</v>
      </c>
    </row>
    <row r="297" spans="1:13" x14ac:dyDescent="0.35">
      <c r="A297" t="s">
        <v>230</v>
      </c>
      <c r="B297" s="1">
        <v>43321</v>
      </c>
      <c r="C297" t="s">
        <v>533</v>
      </c>
      <c r="D297" t="s">
        <v>16</v>
      </c>
      <c r="E297" t="s">
        <v>540</v>
      </c>
      <c r="F297" t="s">
        <v>542</v>
      </c>
      <c r="G297" t="s">
        <v>228</v>
      </c>
      <c r="H297">
        <v>2618.1120000000001</v>
      </c>
      <c r="I297">
        <v>0.04</v>
      </c>
      <c r="J297">
        <v>11</v>
      </c>
      <c r="K297">
        <v>-139.27000000000001</v>
      </c>
      <c r="L297">
        <v>61.76</v>
      </c>
      <c r="M297">
        <v>0.78</v>
      </c>
    </row>
    <row r="298" spans="1:13" x14ac:dyDescent="0.35">
      <c r="A298" t="s">
        <v>362</v>
      </c>
      <c r="B298" s="1">
        <v>43323</v>
      </c>
      <c r="C298" t="s">
        <v>535</v>
      </c>
      <c r="D298" t="s">
        <v>13</v>
      </c>
      <c r="E298" t="s">
        <v>545</v>
      </c>
      <c r="F298" t="s">
        <v>549</v>
      </c>
      <c r="G298" t="s">
        <v>363</v>
      </c>
      <c r="H298">
        <v>6688.11</v>
      </c>
      <c r="I298">
        <v>0.08</v>
      </c>
      <c r="J298">
        <v>45</v>
      </c>
      <c r="K298">
        <v>2872.88</v>
      </c>
      <c r="L298">
        <v>13.99</v>
      </c>
      <c r="M298">
        <v>0.38</v>
      </c>
    </row>
    <row r="299" spans="1:13" x14ac:dyDescent="0.35">
      <c r="A299" t="s">
        <v>362</v>
      </c>
      <c r="B299" s="1">
        <v>43323</v>
      </c>
      <c r="C299" t="s">
        <v>535</v>
      </c>
      <c r="D299" t="s">
        <v>18</v>
      </c>
      <c r="E299" t="s">
        <v>540</v>
      </c>
      <c r="F299" t="s">
        <v>553</v>
      </c>
      <c r="G299" t="s">
        <v>359</v>
      </c>
      <c r="H299">
        <v>16.73</v>
      </c>
      <c r="I299">
        <v>0.08</v>
      </c>
      <c r="J299">
        <v>1</v>
      </c>
      <c r="K299">
        <v>-6.96</v>
      </c>
      <c r="L299">
        <v>4.9800000000000004</v>
      </c>
      <c r="M299">
        <v>0.48</v>
      </c>
    </row>
    <row r="300" spans="1:13" x14ac:dyDescent="0.35">
      <c r="A300" t="s">
        <v>479</v>
      </c>
      <c r="B300" s="1">
        <v>43324</v>
      </c>
      <c r="C300" t="s">
        <v>535</v>
      </c>
      <c r="D300" t="s">
        <v>13</v>
      </c>
      <c r="E300" t="s">
        <v>545</v>
      </c>
      <c r="F300" t="s">
        <v>549</v>
      </c>
      <c r="G300" t="s">
        <v>478</v>
      </c>
      <c r="H300">
        <v>17717.34</v>
      </c>
      <c r="I300">
        <v>0</v>
      </c>
      <c r="J300">
        <v>37</v>
      </c>
      <c r="K300">
        <v>8291.08</v>
      </c>
      <c r="L300">
        <v>69.3</v>
      </c>
      <c r="M300">
        <v>0.37</v>
      </c>
    </row>
    <row r="301" spans="1:13" x14ac:dyDescent="0.35">
      <c r="A301" t="s">
        <v>340</v>
      </c>
      <c r="B301" s="1">
        <v>43329</v>
      </c>
      <c r="C301" t="s">
        <v>537</v>
      </c>
      <c r="D301" t="s">
        <v>12</v>
      </c>
      <c r="E301" t="s">
        <v>538</v>
      </c>
      <c r="F301" t="s">
        <v>554</v>
      </c>
      <c r="G301" t="s">
        <v>341</v>
      </c>
      <c r="H301">
        <v>264.75</v>
      </c>
      <c r="I301">
        <v>0.08</v>
      </c>
      <c r="J301">
        <v>43</v>
      </c>
      <c r="K301">
        <v>-212.51</v>
      </c>
      <c r="L301">
        <v>8.4</v>
      </c>
      <c r="M301">
        <v>0.37</v>
      </c>
    </row>
    <row r="302" spans="1:13" x14ac:dyDescent="0.35">
      <c r="A302" t="s">
        <v>387</v>
      </c>
      <c r="B302" s="1">
        <v>43332</v>
      </c>
      <c r="C302" t="s">
        <v>534</v>
      </c>
      <c r="D302" t="s">
        <v>10</v>
      </c>
      <c r="E302" t="s">
        <v>538</v>
      </c>
      <c r="F302" t="s">
        <v>544</v>
      </c>
      <c r="G302" t="s">
        <v>388</v>
      </c>
      <c r="H302">
        <v>252.99</v>
      </c>
      <c r="I302">
        <v>0.08</v>
      </c>
      <c r="J302">
        <v>37</v>
      </c>
      <c r="K302">
        <v>28.76</v>
      </c>
      <c r="L302">
        <v>2.35</v>
      </c>
      <c r="M302">
        <v>0.47</v>
      </c>
    </row>
    <row r="303" spans="1:13" x14ac:dyDescent="0.35">
      <c r="A303" t="s">
        <v>358</v>
      </c>
      <c r="B303" s="1">
        <v>43342</v>
      </c>
      <c r="C303" t="s">
        <v>537</v>
      </c>
      <c r="D303" t="s">
        <v>22</v>
      </c>
      <c r="E303" t="s">
        <v>538</v>
      </c>
      <c r="F303" t="s">
        <v>551</v>
      </c>
      <c r="G303" t="s">
        <v>359</v>
      </c>
      <c r="H303">
        <v>518.79999999999995</v>
      </c>
      <c r="I303">
        <v>0.1</v>
      </c>
      <c r="J303">
        <v>17</v>
      </c>
      <c r="K303">
        <v>54.63</v>
      </c>
      <c r="L303">
        <v>11.63</v>
      </c>
      <c r="M303">
        <v>0.37</v>
      </c>
    </row>
    <row r="304" spans="1:13" x14ac:dyDescent="0.35">
      <c r="A304" t="s">
        <v>333</v>
      </c>
      <c r="B304" s="1">
        <v>43344</v>
      </c>
      <c r="C304" t="s">
        <v>534</v>
      </c>
      <c r="D304" t="s">
        <v>14</v>
      </c>
      <c r="E304" t="s">
        <v>538</v>
      </c>
      <c r="F304" t="s">
        <v>543</v>
      </c>
      <c r="G304" t="s">
        <v>329</v>
      </c>
      <c r="H304">
        <v>45.87</v>
      </c>
      <c r="I304">
        <v>0.02</v>
      </c>
      <c r="J304">
        <v>9</v>
      </c>
      <c r="K304">
        <v>-38.9</v>
      </c>
      <c r="L304">
        <v>6.89</v>
      </c>
      <c r="M304">
        <v>0.39</v>
      </c>
    </row>
    <row r="305" spans="1:13" x14ac:dyDescent="0.35">
      <c r="A305" t="s">
        <v>170</v>
      </c>
      <c r="B305" s="1">
        <v>43344</v>
      </c>
      <c r="C305" t="s">
        <v>537</v>
      </c>
      <c r="D305" t="s">
        <v>12</v>
      </c>
      <c r="E305" t="s">
        <v>538</v>
      </c>
      <c r="F305" t="s">
        <v>554</v>
      </c>
      <c r="G305" t="s">
        <v>171</v>
      </c>
      <c r="H305">
        <v>268.94</v>
      </c>
      <c r="I305">
        <v>0.02</v>
      </c>
      <c r="J305">
        <v>39</v>
      </c>
      <c r="K305">
        <v>-87.52</v>
      </c>
      <c r="L305">
        <v>6.41</v>
      </c>
      <c r="M305">
        <v>0.37</v>
      </c>
    </row>
    <row r="306" spans="1:13" x14ac:dyDescent="0.35">
      <c r="A306" t="s">
        <v>170</v>
      </c>
      <c r="B306" s="1">
        <v>43344</v>
      </c>
      <c r="C306" t="s">
        <v>537</v>
      </c>
      <c r="D306" t="s">
        <v>25</v>
      </c>
      <c r="E306" t="s">
        <v>538</v>
      </c>
      <c r="F306" t="s">
        <v>539</v>
      </c>
      <c r="G306" t="s">
        <v>171</v>
      </c>
      <c r="H306">
        <v>847.82</v>
      </c>
      <c r="I306">
        <v>0.05</v>
      </c>
      <c r="J306">
        <v>38</v>
      </c>
      <c r="K306">
        <v>-1348.5</v>
      </c>
      <c r="L306">
        <v>45</v>
      </c>
      <c r="M306">
        <v>0.61</v>
      </c>
    </row>
    <row r="307" spans="1:13" x14ac:dyDescent="0.35">
      <c r="A307" t="s">
        <v>334</v>
      </c>
      <c r="B307" s="1">
        <v>43345</v>
      </c>
      <c r="C307" t="s">
        <v>536</v>
      </c>
      <c r="D307" t="s">
        <v>12</v>
      </c>
      <c r="E307" t="s">
        <v>538</v>
      </c>
      <c r="F307" t="s">
        <v>554</v>
      </c>
      <c r="G307" t="s">
        <v>335</v>
      </c>
      <c r="H307">
        <v>47.03</v>
      </c>
      <c r="I307">
        <v>0.08</v>
      </c>
      <c r="J307">
        <v>4</v>
      </c>
      <c r="K307">
        <v>-12.03</v>
      </c>
      <c r="L307">
        <v>5.03</v>
      </c>
      <c r="M307">
        <v>0.37</v>
      </c>
    </row>
    <row r="308" spans="1:13" x14ac:dyDescent="0.35">
      <c r="A308" t="s">
        <v>119</v>
      </c>
      <c r="B308" s="1">
        <v>43346</v>
      </c>
      <c r="C308" t="s">
        <v>533</v>
      </c>
      <c r="D308" t="s">
        <v>22</v>
      </c>
      <c r="E308" t="s">
        <v>538</v>
      </c>
      <c r="F308" t="s">
        <v>551</v>
      </c>
      <c r="G308" t="s">
        <v>118</v>
      </c>
      <c r="H308">
        <v>511.83</v>
      </c>
      <c r="I308">
        <v>0.1</v>
      </c>
      <c r="J308">
        <v>33</v>
      </c>
      <c r="K308">
        <v>-172.88</v>
      </c>
      <c r="L308">
        <v>13.18</v>
      </c>
      <c r="M308">
        <v>0.37</v>
      </c>
    </row>
    <row r="309" spans="1:13" x14ac:dyDescent="0.35">
      <c r="A309" t="s">
        <v>119</v>
      </c>
      <c r="B309" s="1">
        <v>43346</v>
      </c>
      <c r="C309" t="s">
        <v>533</v>
      </c>
      <c r="D309" t="s">
        <v>26</v>
      </c>
      <c r="E309" t="s">
        <v>545</v>
      </c>
      <c r="F309" t="s">
        <v>556</v>
      </c>
      <c r="G309" t="s">
        <v>118</v>
      </c>
      <c r="H309">
        <v>184.99</v>
      </c>
      <c r="I309">
        <v>0.05</v>
      </c>
      <c r="J309">
        <v>38</v>
      </c>
      <c r="K309">
        <v>-144.55000000000001</v>
      </c>
      <c r="L309">
        <v>4.93</v>
      </c>
      <c r="M309">
        <v>0.66</v>
      </c>
    </row>
    <row r="310" spans="1:13" x14ac:dyDescent="0.35">
      <c r="A310" t="s">
        <v>52</v>
      </c>
      <c r="B310" s="1">
        <v>43346</v>
      </c>
      <c r="C310" t="s">
        <v>537</v>
      </c>
      <c r="D310" t="s">
        <v>12</v>
      </c>
      <c r="E310" t="s">
        <v>538</v>
      </c>
      <c r="F310" t="s">
        <v>554</v>
      </c>
      <c r="G310" t="s">
        <v>51</v>
      </c>
      <c r="H310">
        <v>23.38</v>
      </c>
      <c r="I310">
        <v>0.08</v>
      </c>
      <c r="J310">
        <v>3</v>
      </c>
      <c r="K310">
        <v>-12.19</v>
      </c>
      <c r="L310">
        <v>5.14</v>
      </c>
      <c r="M310">
        <v>0.37</v>
      </c>
    </row>
    <row r="311" spans="1:13" x14ac:dyDescent="0.35">
      <c r="A311" t="s">
        <v>52</v>
      </c>
      <c r="B311" s="1">
        <v>43346</v>
      </c>
      <c r="C311" t="s">
        <v>537</v>
      </c>
      <c r="D311" t="s">
        <v>9</v>
      </c>
      <c r="E311" t="s">
        <v>538</v>
      </c>
      <c r="F311" t="s">
        <v>548</v>
      </c>
      <c r="G311" t="s">
        <v>51</v>
      </c>
      <c r="H311">
        <v>139.37</v>
      </c>
      <c r="I311">
        <v>0.04</v>
      </c>
      <c r="J311">
        <v>16</v>
      </c>
      <c r="K311">
        <v>1.72</v>
      </c>
      <c r="L311">
        <v>2.64</v>
      </c>
      <c r="M311">
        <v>0.59</v>
      </c>
    </row>
    <row r="312" spans="1:13" x14ac:dyDescent="0.35">
      <c r="A312" t="s">
        <v>52</v>
      </c>
      <c r="B312" s="1">
        <v>43346</v>
      </c>
      <c r="C312" t="s">
        <v>537</v>
      </c>
      <c r="D312" t="s">
        <v>25</v>
      </c>
      <c r="E312" t="s">
        <v>538</v>
      </c>
      <c r="F312" t="s">
        <v>539</v>
      </c>
      <c r="G312" t="s">
        <v>51</v>
      </c>
      <c r="H312">
        <v>1221.6199999999999</v>
      </c>
      <c r="I312">
        <v>0.01</v>
      </c>
      <c r="J312">
        <v>18</v>
      </c>
      <c r="K312">
        <v>-468.64</v>
      </c>
      <c r="L312">
        <v>35</v>
      </c>
      <c r="M312">
        <v>0.8</v>
      </c>
    </row>
    <row r="313" spans="1:13" x14ac:dyDescent="0.35">
      <c r="A313" t="s">
        <v>262</v>
      </c>
      <c r="B313" s="1">
        <v>43347</v>
      </c>
      <c r="C313" t="s">
        <v>535</v>
      </c>
      <c r="D313" t="s">
        <v>22</v>
      </c>
      <c r="E313" t="s">
        <v>538</v>
      </c>
      <c r="F313" t="s">
        <v>551</v>
      </c>
      <c r="G313" t="s">
        <v>260</v>
      </c>
      <c r="H313">
        <v>38.56</v>
      </c>
      <c r="I313">
        <v>0.03</v>
      </c>
      <c r="J313">
        <v>8</v>
      </c>
      <c r="K313">
        <v>4.08</v>
      </c>
      <c r="L313">
        <v>1.49</v>
      </c>
      <c r="M313">
        <v>0.35</v>
      </c>
    </row>
    <row r="314" spans="1:13" x14ac:dyDescent="0.35">
      <c r="A314" t="s">
        <v>161</v>
      </c>
      <c r="B314" s="1">
        <v>43347</v>
      </c>
      <c r="C314" t="s">
        <v>537</v>
      </c>
      <c r="D314" t="s">
        <v>10</v>
      </c>
      <c r="E314" t="s">
        <v>538</v>
      </c>
      <c r="F314" t="s">
        <v>544</v>
      </c>
      <c r="G314" t="s">
        <v>159</v>
      </c>
      <c r="H314">
        <v>48.01</v>
      </c>
      <c r="I314">
        <v>0.1</v>
      </c>
      <c r="J314">
        <v>21</v>
      </c>
      <c r="K314">
        <v>-6.85</v>
      </c>
      <c r="L314">
        <v>1.1200000000000001</v>
      </c>
      <c r="M314">
        <v>0.57999999999999996</v>
      </c>
    </row>
    <row r="315" spans="1:13" x14ac:dyDescent="0.35">
      <c r="A315" t="s">
        <v>128</v>
      </c>
      <c r="B315" s="1">
        <v>43347</v>
      </c>
      <c r="C315" t="s">
        <v>536</v>
      </c>
      <c r="D315" t="s">
        <v>22</v>
      </c>
      <c r="E315" t="s">
        <v>538</v>
      </c>
      <c r="F315" t="s">
        <v>551</v>
      </c>
      <c r="G315" t="s">
        <v>129</v>
      </c>
      <c r="H315">
        <v>129.06</v>
      </c>
      <c r="I315">
        <v>0.1</v>
      </c>
      <c r="J315">
        <v>27</v>
      </c>
      <c r="K315">
        <v>-75.13</v>
      </c>
      <c r="L315">
        <v>4.97</v>
      </c>
      <c r="M315">
        <v>0.38</v>
      </c>
    </row>
    <row r="316" spans="1:13" x14ac:dyDescent="0.35">
      <c r="A316" t="s">
        <v>128</v>
      </c>
      <c r="B316" s="1">
        <v>43347</v>
      </c>
      <c r="C316" t="s">
        <v>536</v>
      </c>
      <c r="D316" t="s">
        <v>26</v>
      </c>
      <c r="E316" t="s">
        <v>545</v>
      </c>
      <c r="F316" t="s">
        <v>556</v>
      </c>
      <c r="G316" t="s">
        <v>129</v>
      </c>
      <c r="H316">
        <v>1236.6400000000001</v>
      </c>
      <c r="I316">
        <v>0.01</v>
      </c>
      <c r="J316">
        <v>43</v>
      </c>
      <c r="K316">
        <v>518.80999999999995</v>
      </c>
      <c r="L316">
        <v>1.99</v>
      </c>
      <c r="M316">
        <v>0.4</v>
      </c>
    </row>
    <row r="317" spans="1:13" x14ac:dyDescent="0.35">
      <c r="A317" t="s">
        <v>246</v>
      </c>
      <c r="B317" s="1">
        <v>43347</v>
      </c>
      <c r="C317" t="s">
        <v>534</v>
      </c>
      <c r="D317" t="s">
        <v>25</v>
      </c>
      <c r="E317" t="s">
        <v>538</v>
      </c>
      <c r="F317" t="s">
        <v>539</v>
      </c>
      <c r="G317" t="s">
        <v>245</v>
      </c>
      <c r="H317">
        <v>300.2</v>
      </c>
      <c r="I317">
        <v>0</v>
      </c>
      <c r="J317">
        <v>8</v>
      </c>
      <c r="K317">
        <v>6.41</v>
      </c>
      <c r="L317">
        <v>8.2200000000000006</v>
      </c>
      <c r="M317">
        <v>0.56999999999999995</v>
      </c>
    </row>
    <row r="318" spans="1:13" x14ac:dyDescent="0.35">
      <c r="A318" t="s">
        <v>246</v>
      </c>
      <c r="B318" s="1">
        <v>43347</v>
      </c>
      <c r="C318" t="s">
        <v>534</v>
      </c>
      <c r="D318" t="s">
        <v>11</v>
      </c>
      <c r="E318" t="s">
        <v>545</v>
      </c>
      <c r="F318" t="s">
        <v>552</v>
      </c>
      <c r="G318" t="s">
        <v>245</v>
      </c>
      <c r="H318">
        <v>1364.8025</v>
      </c>
      <c r="I318">
        <v>7.0000000000000007E-2</v>
      </c>
      <c r="J318">
        <v>29</v>
      </c>
      <c r="K318">
        <v>-183.68</v>
      </c>
      <c r="L318">
        <v>5</v>
      </c>
      <c r="M318">
        <v>0.83</v>
      </c>
    </row>
    <row r="319" spans="1:13" x14ac:dyDescent="0.35">
      <c r="A319" t="s">
        <v>212</v>
      </c>
      <c r="B319" s="1">
        <v>43348</v>
      </c>
      <c r="C319" t="s">
        <v>536</v>
      </c>
      <c r="D319" t="s">
        <v>22</v>
      </c>
      <c r="E319" t="s">
        <v>538</v>
      </c>
      <c r="F319" t="s">
        <v>551</v>
      </c>
      <c r="G319" t="s">
        <v>211</v>
      </c>
      <c r="H319">
        <v>36.369999999999997</v>
      </c>
      <c r="I319">
        <v>7.0000000000000007E-2</v>
      </c>
      <c r="J319">
        <v>19</v>
      </c>
      <c r="K319">
        <v>-10.26</v>
      </c>
      <c r="L319">
        <v>1.49</v>
      </c>
      <c r="M319">
        <v>0.37</v>
      </c>
    </row>
    <row r="320" spans="1:13" x14ac:dyDescent="0.35">
      <c r="A320" t="s">
        <v>123</v>
      </c>
      <c r="B320" s="1">
        <v>43348</v>
      </c>
      <c r="C320" t="s">
        <v>534</v>
      </c>
      <c r="D320" t="s">
        <v>10</v>
      </c>
      <c r="E320" t="s">
        <v>538</v>
      </c>
      <c r="F320" t="s">
        <v>544</v>
      </c>
      <c r="G320" t="s">
        <v>122</v>
      </c>
      <c r="H320">
        <v>50.97</v>
      </c>
      <c r="I320">
        <v>0.09</v>
      </c>
      <c r="J320">
        <v>10</v>
      </c>
      <c r="K320">
        <v>4.45</v>
      </c>
      <c r="L320">
        <v>0.73</v>
      </c>
      <c r="M320">
        <v>0.56000000000000005</v>
      </c>
    </row>
    <row r="321" spans="1:13" x14ac:dyDescent="0.35">
      <c r="A321" t="s">
        <v>123</v>
      </c>
      <c r="B321" s="1">
        <v>43348</v>
      </c>
      <c r="C321" t="s">
        <v>534</v>
      </c>
      <c r="D321" t="s">
        <v>9</v>
      </c>
      <c r="E321" t="s">
        <v>538</v>
      </c>
      <c r="F321" t="s">
        <v>548</v>
      </c>
      <c r="G321" t="s">
        <v>122</v>
      </c>
      <c r="H321">
        <v>4.99</v>
      </c>
      <c r="I321">
        <v>0.04</v>
      </c>
      <c r="J321">
        <v>1</v>
      </c>
      <c r="K321">
        <v>-3.06</v>
      </c>
      <c r="L321">
        <v>1.32</v>
      </c>
      <c r="M321">
        <v>0.83</v>
      </c>
    </row>
    <row r="322" spans="1:13" x14ac:dyDescent="0.35">
      <c r="A322" t="s">
        <v>476</v>
      </c>
      <c r="B322" s="1">
        <v>43350</v>
      </c>
      <c r="C322" t="s">
        <v>535</v>
      </c>
      <c r="D322" t="s">
        <v>20</v>
      </c>
      <c r="E322" t="s">
        <v>540</v>
      </c>
      <c r="F322" t="s">
        <v>547</v>
      </c>
      <c r="G322" t="s">
        <v>475</v>
      </c>
      <c r="H322">
        <v>9418.73</v>
      </c>
      <c r="I322">
        <v>0</v>
      </c>
      <c r="J322">
        <v>27</v>
      </c>
      <c r="K322">
        <v>2245.2399999999998</v>
      </c>
      <c r="L322">
        <v>58.95</v>
      </c>
      <c r="M322">
        <v>0.56999999999999995</v>
      </c>
    </row>
    <row r="323" spans="1:13" x14ac:dyDescent="0.35">
      <c r="A323" t="s">
        <v>476</v>
      </c>
      <c r="B323" s="1">
        <v>43350</v>
      </c>
      <c r="C323" t="s">
        <v>535</v>
      </c>
      <c r="D323" t="s">
        <v>11</v>
      </c>
      <c r="E323" t="s">
        <v>545</v>
      </c>
      <c r="F323" t="s">
        <v>552</v>
      </c>
      <c r="G323" t="s">
        <v>475</v>
      </c>
      <c r="H323">
        <v>1265.4970000000001</v>
      </c>
      <c r="I323">
        <v>0.1</v>
      </c>
      <c r="J323">
        <v>13</v>
      </c>
      <c r="K323">
        <v>-161.12</v>
      </c>
      <c r="L323">
        <v>3</v>
      </c>
      <c r="M323">
        <v>0.59</v>
      </c>
    </row>
    <row r="324" spans="1:13" x14ac:dyDescent="0.35">
      <c r="A324" t="s">
        <v>476</v>
      </c>
      <c r="B324" s="1">
        <v>43350</v>
      </c>
      <c r="C324" t="s">
        <v>535</v>
      </c>
      <c r="D324" t="s">
        <v>12</v>
      </c>
      <c r="E324" t="s">
        <v>538</v>
      </c>
      <c r="F324" t="s">
        <v>554</v>
      </c>
      <c r="G324" t="s">
        <v>475</v>
      </c>
      <c r="H324">
        <v>5.68</v>
      </c>
      <c r="I324">
        <v>0.02</v>
      </c>
      <c r="J324">
        <v>1</v>
      </c>
      <c r="K324">
        <v>-1.82</v>
      </c>
      <c r="L324">
        <v>0.88</v>
      </c>
      <c r="M324">
        <v>0.39</v>
      </c>
    </row>
    <row r="325" spans="1:13" x14ac:dyDescent="0.35">
      <c r="A325" t="s">
        <v>476</v>
      </c>
      <c r="B325" s="1">
        <v>43350</v>
      </c>
      <c r="C325" t="s">
        <v>535</v>
      </c>
      <c r="D325" t="s">
        <v>10</v>
      </c>
      <c r="E325" t="s">
        <v>538</v>
      </c>
      <c r="F325" t="s">
        <v>544</v>
      </c>
      <c r="G325" t="s">
        <v>475</v>
      </c>
      <c r="H325">
        <v>174.59</v>
      </c>
      <c r="I325">
        <v>0.08</v>
      </c>
      <c r="J325">
        <v>42</v>
      </c>
      <c r="K325">
        <v>25.88</v>
      </c>
      <c r="L325">
        <v>0.94</v>
      </c>
      <c r="M325">
        <v>0.56000000000000005</v>
      </c>
    </row>
    <row r="326" spans="1:13" x14ac:dyDescent="0.35">
      <c r="A326" t="s">
        <v>241</v>
      </c>
      <c r="B326" s="1">
        <v>43350</v>
      </c>
      <c r="C326" t="s">
        <v>535</v>
      </c>
      <c r="D326" t="s">
        <v>12</v>
      </c>
      <c r="E326" t="s">
        <v>538</v>
      </c>
      <c r="F326" t="s">
        <v>554</v>
      </c>
      <c r="G326" t="s">
        <v>240</v>
      </c>
      <c r="H326">
        <v>311.20999999999998</v>
      </c>
      <c r="I326">
        <v>0.09</v>
      </c>
      <c r="J326">
        <v>27</v>
      </c>
      <c r="K326">
        <v>-14.03</v>
      </c>
      <c r="L326">
        <v>6.47</v>
      </c>
      <c r="M326">
        <v>0.38</v>
      </c>
    </row>
    <row r="327" spans="1:13" x14ac:dyDescent="0.35">
      <c r="A327" t="s">
        <v>89</v>
      </c>
      <c r="B327" s="1">
        <v>43351</v>
      </c>
      <c r="C327" t="s">
        <v>537</v>
      </c>
      <c r="D327" t="s">
        <v>12</v>
      </c>
      <c r="E327" t="s">
        <v>538</v>
      </c>
      <c r="F327" t="s">
        <v>554</v>
      </c>
      <c r="G327" t="s">
        <v>87</v>
      </c>
      <c r="H327">
        <v>109.37</v>
      </c>
      <c r="I327">
        <v>7.0000000000000007E-2</v>
      </c>
      <c r="J327">
        <v>11</v>
      </c>
      <c r="K327">
        <v>25.96</v>
      </c>
      <c r="L327">
        <v>1.79</v>
      </c>
      <c r="M327">
        <v>0.38</v>
      </c>
    </row>
    <row r="328" spans="1:13" x14ac:dyDescent="0.35">
      <c r="A328" t="s">
        <v>467</v>
      </c>
      <c r="B328" s="1">
        <v>43351</v>
      </c>
      <c r="C328" t="s">
        <v>534</v>
      </c>
      <c r="D328" t="s">
        <v>10</v>
      </c>
      <c r="E328" t="s">
        <v>538</v>
      </c>
      <c r="F328" t="s">
        <v>544</v>
      </c>
      <c r="G328" t="s">
        <v>468</v>
      </c>
      <c r="H328">
        <v>238.74</v>
      </c>
      <c r="I328">
        <v>0.1</v>
      </c>
      <c r="J328">
        <v>8</v>
      </c>
      <c r="K328">
        <v>-38.89</v>
      </c>
      <c r="L328">
        <v>8.99</v>
      </c>
      <c r="M328">
        <v>0.57999999999999996</v>
      </c>
    </row>
    <row r="329" spans="1:13" x14ac:dyDescent="0.35">
      <c r="A329" t="s">
        <v>522</v>
      </c>
      <c r="B329" s="1">
        <v>43351</v>
      </c>
      <c r="C329" t="s">
        <v>534</v>
      </c>
      <c r="D329" t="s">
        <v>17</v>
      </c>
      <c r="E329" t="s">
        <v>540</v>
      </c>
      <c r="F329" t="s">
        <v>541</v>
      </c>
      <c r="G329" t="s">
        <v>521</v>
      </c>
      <c r="H329">
        <v>633.13</v>
      </c>
      <c r="I329">
        <v>0.05</v>
      </c>
      <c r="J329">
        <v>10</v>
      </c>
      <c r="K329">
        <v>-203.9</v>
      </c>
      <c r="L329">
        <v>36.61</v>
      </c>
      <c r="M329">
        <v>0.61</v>
      </c>
    </row>
    <row r="330" spans="1:13" x14ac:dyDescent="0.35">
      <c r="A330" t="s">
        <v>440</v>
      </c>
      <c r="B330" s="1">
        <v>43351</v>
      </c>
      <c r="C330" t="s">
        <v>534</v>
      </c>
      <c r="D330" t="s">
        <v>21</v>
      </c>
      <c r="E330" t="s">
        <v>538</v>
      </c>
      <c r="F330" t="s">
        <v>555</v>
      </c>
      <c r="G330" t="s">
        <v>438</v>
      </c>
      <c r="H330">
        <v>10.33</v>
      </c>
      <c r="I330">
        <v>0.04</v>
      </c>
      <c r="J330">
        <v>3</v>
      </c>
      <c r="K330">
        <v>-3.86</v>
      </c>
      <c r="L330">
        <v>1.58</v>
      </c>
      <c r="M330">
        <v>0.39</v>
      </c>
    </row>
    <row r="331" spans="1:13" x14ac:dyDescent="0.35">
      <c r="A331" t="s">
        <v>440</v>
      </c>
      <c r="B331" s="1">
        <v>43351</v>
      </c>
      <c r="C331" t="s">
        <v>534</v>
      </c>
      <c r="D331" t="s">
        <v>21</v>
      </c>
      <c r="E331" t="s">
        <v>538</v>
      </c>
      <c r="F331" t="s">
        <v>555</v>
      </c>
      <c r="G331" t="s">
        <v>438</v>
      </c>
      <c r="H331">
        <v>14.39</v>
      </c>
      <c r="I331">
        <v>7.0000000000000007E-2</v>
      </c>
      <c r="J331">
        <v>2</v>
      </c>
      <c r="K331">
        <v>-10.24</v>
      </c>
      <c r="L331">
        <v>3.37</v>
      </c>
      <c r="M331">
        <v>0.54</v>
      </c>
    </row>
    <row r="332" spans="1:13" x14ac:dyDescent="0.35">
      <c r="A332" t="s">
        <v>315</v>
      </c>
      <c r="B332" s="1">
        <v>43353</v>
      </c>
      <c r="C332" t="s">
        <v>535</v>
      </c>
      <c r="D332" t="s">
        <v>22</v>
      </c>
      <c r="E332" t="s">
        <v>538</v>
      </c>
      <c r="F332" t="s">
        <v>551</v>
      </c>
      <c r="G332" t="s">
        <v>313</v>
      </c>
      <c r="H332">
        <v>96.75</v>
      </c>
      <c r="I332">
        <v>0.04</v>
      </c>
      <c r="J332">
        <v>22</v>
      </c>
      <c r="K332">
        <v>-72.91</v>
      </c>
      <c r="L332">
        <v>5.41</v>
      </c>
      <c r="M332">
        <v>0.35</v>
      </c>
    </row>
    <row r="333" spans="1:13" x14ac:dyDescent="0.35">
      <c r="A333" t="s">
        <v>225</v>
      </c>
      <c r="B333" s="1">
        <v>43353</v>
      </c>
      <c r="C333" t="s">
        <v>537</v>
      </c>
      <c r="D333" t="s">
        <v>22</v>
      </c>
      <c r="E333" t="s">
        <v>538</v>
      </c>
      <c r="F333" t="s">
        <v>551</v>
      </c>
      <c r="G333" t="s">
        <v>224</v>
      </c>
      <c r="H333">
        <v>1136.47</v>
      </c>
      <c r="I333">
        <v>0.1</v>
      </c>
      <c r="J333">
        <v>10</v>
      </c>
      <c r="K333">
        <v>323.32</v>
      </c>
      <c r="L333">
        <v>9.07</v>
      </c>
      <c r="M333">
        <v>0.35</v>
      </c>
    </row>
    <row r="334" spans="1:13" x14ac:dyDescent="0.35">
      <c r="A334" t="s">
        <v>225</v>
      </c>
      <c r="B334" s="1">
        <v>43353</v>
      </c>
      <c r="C334" t="s">
        <v>537</v>
      </c>
      <c r="D334" t="s">
        <v>26</v>
      </c>
      <c r="E334" t="s">
        <v>545</v>
      </c>
      <c r="F334" t="s">
        <v>556</v>
      </c>
      <c r="G334" t="s">
        <v>224</v>
      </c>
      <c r="H334">
        <v>325.81</v>
      </c>
      <c r="I334">
        <v>0.02</v>
      </c>
      <c r="J334">
        <v>2</v>
      </c>
      <c r="K334">
        <v>-522.78</v>
      </c>
      <c r="L334">
        <v>6.5</v>
      </c>
      <c r="M334">
        <v>0.74</v>
      </c>
    </row>
    <row r="335" spans="1:13" x14ac:dyDescent="0.35">
      <c r="A335" t="s">
        <v>99</v>
      </c>
      <c r="B335" s="1">
        <v>43353</v>
      </c>
      <c r="C335" t="s">
        <v>533</v>
      </c>
      <c r="D335" t="s">
        <v>15</v>
      </c>
      <c r="E335" t="s">
        <v>538</v>
      </c>
      <c r="F335" t="s">
        <v>550</v>
      </c>
      <c r="G335" t="s">
        <v>98</v>
      </c>
      <c r="H335">
        <v>1223.1099999999999</v>
      </c>
      <c r="I335">
        <v>0</v>
      </c>
      <c r="J335">
        <v>21</v>
      </c>
      <c r="K335">
        <v>161.72</v>
      </c>
      <c r="L335">
        <v>13.22</v>
      </c>
      <c r="M335">
        <v>0.56000000000000005</v>
      </c>
    </row>
    <row r="336" spans="1:13" x14ac:dyDescent="0.35">
      <c r="A336" t="s">
        <v>55</v>
      </c>
      <c r="B336" s="1">
        <v>43353</v>
      </c>
      <c r="C336" t="s">
        <v>534</v>
      </c>
      <c r="D336" t="s">
        <v>22</v>
      </c>
      <c r="E336" t="s">
        <v>538</v>
      </c>
      <c r="F336" t="s">
        <v>551</v>
      </c>
      <c r="G336" t="s">
        <v>54</v>
      </c>
      <c r="H336">
        <v>114.12</v>
      </c>
      <c r="I336">
        <v>0.05</v>
      </c>
      <c r="J336">
        <v>30</v>
      </c>
      <c r="K336">
        <v>15.73</v>
      </c>
      <c r="L336">
        <v>1.49</v>
      </c>
      <c r="M336">
        <v>0.38</v>
      </c>
    </row>
    <row r="337" spans="1:13" x14ac:dyDescent="0.35">
      <c r="A337" t="s">
        <v>55</v>
      </c>
      <c r="B337" s="1">
        <v>43353</v>
      </c>
      <c r="C337" t="s">
        <v>534</v>
      </c>
      <c r="D337" t="s">
        <v>26</v>
      </c>
      <c r="E337" t="s">
        <v>545</v>
      </c>
      <c r="F337" t="s">
        <v>556</v>
      </c>
      <c r="G337" t="s">
        <v>54</v>
      </c>
      <c r="H337">
        <v>436.05</v>
      </c>
      <c r="I337">
        <v>0.09</v>
      </c>
      <c r="J337">
        <v>15</v>
      </c>
      <c r="K337">
        <v>-92.58</v>
      </c>
      <c r="L337">
        <v>4</v>
      </c>
      <c r="M337">
        <v>0.75</v>
      </c>
    </row>
    <row r="338" spans="1:13" x14ac:dyDescent="0.35">
      <c r="A338" t="s">
        <v>55</v>
      </c>
      <c r="B338" s="1">
        <v>43353</v>
      </c>
      <c r="C338" t="s">
        <v>534</v>
      </c>
      <c r="D338" t="s">
        <v>11</v>
      </c>
      <c r="E338" t="s">
        <v>545</v>
      </c>
      <c r="F338" t="s">
        <v>552</v>
      </c>
      <c r="G338" t="s">
        <v>54</v>
      </c>
      <c r="H338">
        <v>5247.4835000000003</v>
      </c>
      <c r="I338">
        <v>0</v>
      </c>
      <c r="J338">
        <v>49</v>
      </c>
      <c r="K338">
        <v>1465.87</v>
      </c>
      <c r="L338">
        <v>8.08</v>
      </c>
      <c r="M338">
        <v>0.56999999999999995</v>
      </c>
    </row>
    <row r="339" spans="1:13" x14ac:dyDescent="0.35">
      <c r="A339" t="s">
        <v>339</v>
      </c>
      <c r="B339" s="1">
        <v>43354</v>
      </c>
      <c r="C339" t="s">
        <v>536</v>
      </c>
      <c r="D339" t="s">
        <v>26</v>
      </c>
      <c r="E339" t="s">
        <v>545</v>
      </c>
      <c r="F339" t="s">
        <v>556</v>
      </c>
      <c r="G339" t="s">
        <v>337</v>
      </c>
      <c r="H339">
        <v>240.63</v>
      </c>
      <c r="I339">
        <v>0.02</v>
      </c>
      <c r="J339">
        <v>31</v>
      </c>
      <c r="K339">
        <v>-117.92</v>
      </c>
      <c r="L339">
        <v>5.53</v>
      </c>
      <c r="M339">
        <v>0.69</v>
      </c>
    </row>
    <row r="340" spans="1:13" x14ac:dyDescent="0.35">
      <c r="A340" t="s">
        <v>37</v>
      </c>
      <c r="B340" s="1">
        <v>43354</v>
      </c>
      <c r="C340" t="s">
        <v>535</v>
      </c>
      <c r="D340" t="s">
        <v>12</v>
      </c>
      <c r="E340" t="s">
        <v>538</v>
      </c>
      <c r="F340" t="s">
        <v>554</v>
      </c>
      <c r="G340" t="s">
        <v>34</v>
      </c>
      <c r="H340">
        <v>30.47</v>
      </c>
      <c r="I340">
        <v>0.02</v>
      </c>
      <c r="J340">
        <v>4</v>
      </c>
      <c r="K340">
        <v>-10.7</v>
      </c>
      <c r="L340">
        <v>5.15</v>
      </c>
      <c r="M340">
        <v>0.36</v>
      </c>
    </row>
    <row r="341" spans="1:13" x14ac:dyDescent="0.35">
      <c r="A341" t="s">
        <v>169</v>
      </c>
      <c r="B341" s="1">
        <v>43354</v>
      </c>
      <c r="C341" t="s">
        <v>534</v>
      </c>
      <c r="D341" t="s">
        <v>11</v>
      </c>
      <c r="E341" t="s">
        <v>545</v>
      </c>
      <c r="F341" t="s">
        <v>552</v>
      </c>
      <c r="G341" t="s">
        <v>168</v>
      </c>
      <c r="H341">
        <v>1278.6465000000001</v>
      </c>
      <c r="I341">
        <v>0.01</v>
      </c>
      <c r="J341">
        <v>7</v>
      </c>
      <c r="K341">
        <v>-396.17</v>
      </c>
      <c r="L341">
        <v>4.2</v>
      </c>
      <c r="M341">
        <v>0.59</v>
      </c>
    </row>
    <row r="342" spans="1:13" x14ac:dyDescent="0.35">
      <c r="A342" t="s">
        <v>392</v>
      </c>
      <c r="B342" s="1">
        <v>43355</v>
      </c>
      <c r="C342" t="s">
        <v>536</v>
      </c>
      <c r="D342" t="s">
        <v>15</v>
      </c>
      <c r="E342" t="s">
        <v>538</v>
      </c>
      <c r="F342" t="s">
        <v>550</v>
      </c>
      <c r="G342" t="s">
        <v>393</v>
      </c>
      <c r="H342">
        <v>170.45</v>
      </c>
      <c r="I342">
        <v>0.09</v>
      </c>
      <c r="J342">
        <v>4</v>
      </c>
      <c r="K342">
        <v>-30.27</v>
      </c>
      <c r="L342">
        <v>4.62</v>
      </c>
      <c r="M342">
        <v>0.56000000000000005</v>
      </c>
    </row>
    <row r="343" spans="1:13" x14ac:dyDescent="0.35">
      <c r="A343" t="s">
        <v>392</v>
      </c>
      <c r="B343" s="1">
        <v>43355</v>
      </c>
      <c r="C343" t="s">
        <v>536</v>
      </c>
      <c r="D343" t="s">
        <v>10</v>
      </c>
      <c r="E343" t="s">
        <v>538</v>
      </c>
      <c r="F343" t="s">
        <v>544</v>
      </c>
      <c r="G343" t="s">
        <v>393</v>
      </c>
      <c r="H343">
        <v>350.42</v>
      </c>
      <c r="I343">
        <v>0.03</v>
      </c>
      <c r="J343">
        <v>28</v>
      </c>
      <c r="K343">
        <v>-37.299999999999997</v>
      </c>
      <c r="L343">
        <v>5.81</v>
      </c>
      <c r="M343">
        <v>0.6</v>
      </c>
    </row>
    <row r="344" spans="1:13" x14ac:dyDescent="0.35">
      <c r="A344" t="s">
        <v>316</v>
      </c>
      <c r="B344" s="1">
        <v>43355</v>
      </c>
      <c r="C344" t="s">
        <v>534</v>
      </c>
      <c r="D344" t="s">
        <v>10</v>
      </c>
      <c r="E344" t="s">
        <v>538</v>
      </c>
      <c r="F344" t="s">
        <v>544</v>
      </c>
      <c r="G344" t="s">
        <v>317</v>
      </c>
      <c r="H344">
        <v>1968.47</v>
      </c>
      <c r="I344">
        <v>0.04</v>
      </c>
      <c r="J344">
        <v>47</v>
      </c>
      <c r="K344">
        <v>327.9</v>
      </c>
      <c r="L344">
        <v>8.99</v>
      </c>
      <c r="M344">
        <v>0.59</v>
      </c>
    </row>
    <row r="345" spans="1:13" x14ac:dyDescent="0.35">
      <c r="A345" t="s">
        <v>426</v>
      </c>
      <c r="B345" s="1">
        <v>43367</v>
      </c>
      <c r="C345" t="s">
        <v>537</v>
      </c>
      <c r="D345" t="s">
        <v>22</v>
      </c>
      <c r="E345" t="s">
        <v>538</v>
      </c>
      <c r="F345" t="s">
        <v>551</v>
      </c>
      <c r="G345" t="s">
        <v>425</v>
      </c>
      <c r="H345">
        <v>104.51</v>
      </c>
      <c r="I345">
        <v>0.04</v>
      </c>
      <c r="J345">
        <v>13</v>
      </c>
      <c r="K345">
        <v>-9.2799999999999994</v>
      </c>
      <c r="L345">
        <v>4.71</v>
      </c>
      <c r="M345">
        <v>0.35</v>
      </c>
    </row>
    <row r="346" spans="1:13" x14ac:dyDescent="0.35">
      <c r="A346" t="s">
        <v>402</v>
      </c>
      <c r="B346" s="1">
        <v>43370</v>
      </c>
      <c r="C346" t="s">
        <v>536</v>
      </c>
      <c r="D346" t="s">
        <v>18</v>
      </c>
      <c r="E346" t="s">
        <v>540</v>
      </c>
      <c r="F346" t="s">
        <v>553</v>
      </c>
      <c r="G346" t="s">
        <v>401</v>
      </c>
      <c r="H346">
        <v>1981.26</v>
      </c>
      <c r="I346">
        <v>7.0000000000000007E-2</v>
      </c>
      <c r="J346">
        <v>49</v>
      </c>
      <c r="K346">
        <v>100.8</v>
      </c>
      <c r="L346">
        <v>8.66</v>
      </c>
      <c r="M346">
        <v>0.76</v>
      </c>
    </row>
    <row r="347" spans="1:13" x14ac:dyDescent="0.35">
      <c r="A347" t="s">
        <v>460</v>
      </c>
      <c r="B347" s="1">
        <v>43373</v>
      </c>
      <c r="C347" t="s">
        <v>536</v>
      </c>
      <c r="D347" t="s">
        <v>12</v>
      </c>
      <c r="E347" t="s">
        <v>538</v>
      </c>
      <c r="F347" t="s">
        <v>554</v>
      </c>
      <c r="G347" t="s">
        <v>458</v>
      </c>
      <c r="H347">
        <v>157.97</v>
      </c>
      <c r="I347">
        <v>0.01</v>
      </c>
      <c r="J347">
        <v>6</v>
      </c>
      <c r="K347">
        <v>-42.38</v>
      </c>
      <c r="L347">
        <v>16.87</v>
      </c>
      <c r="M347">
        <v>0.39</v>
      </c>
    </row>
    <row r="348" spans="1:13" x14ac:dyDescent="0.35">
      <c r="A348" t="s">
        <v>394</v>
      </c>
      <c r="B348" s="1">
        <v>43374</v>
      </c>
      <c r="C348" t="s">
        <v>533</v>
      </c>
      <c r="D348" t="s">
        <v>26</v>
      </c>
      <c r="E348" t="s">
        <v>545</v>
      </c>
      <c r="F348" t="s">
        <v>556</v>
      </c>
      <c r="G348" t="s">
        <v>393</v>
      </c>
      <c r="H348">
        <v>1307.3499999999999</v>
      </c>
      <c r="I348">
        <v>0.05</v>
      </c>
      <c r="J348">
        <v>43</v>
      </c>
      <c r="K348">
        <v>-154.24</v>
      </c>
      <c r="L348">
        <v>8.65</v>
      </c>
      <c r="M348">
        <v>0.74</v>
      </c>
    </row>
    <row r="349" spans="1:13" x14ac:dyDescent="0.35">
      <c r="A349" t="s">
        <v>394</v>
      </c>
      <c r="B349" s="1">
        <v>43374</v>
      </c>
      <c r="C349" t="s">
        <v>533</v>
      </c>
      <c r="D349" t="s">
        <v>25</v>
      </c>
      <c r="E349" t="s">
        <v>538</v>
      </c>
      <c r="F349" t="s">
        <v>539</v>
      </c>
      <c r="G349" t="s">
        <v>393</v>
      </c>
      <c r="H349">
        <v>523.58000000000004</v>
      </c>
      <c r="I349">
        <v>0.01</v>
      </c>
      <c r="J349">
        <v>3</v>
      </c>
      <c r="K349">
        <v>-179.36</v>
      </c>
      <c r="L349">
        <v>19.989999999999998</v>
      </c>
      <c r="M349">
        <v>0.66</v>
      </c>
    </row>
    <row r="350" spans="1:13" x14ac:dyDescent="0.35">
      <c r="A350" t="s">
        <v>503</v>
      </c>
      <c r="B350" s="1">
        <v>43374</v>
      </c>
      <c r="C350" t="s">
        <v>535</v>
      </c>
      <c r="D350" t="s">
        <v>22</v>
      </c>
      <c r="E350" t="s">
        <v>538</v>
      </c>
      <c r="F350" t="s">
        <v>551</v>
      </c>
      <c r="G350" t="s">
        <v>504</v>
      </c>
      <c r="H350">
        <v>69.98</v>
      </c>
      <c r="I350">
        <v>0.06</v>
      </c>
      <c r="J350">
        <v>12</v>
      </c>
      <c r="K350">
        <v>-58.33</v>
      </c>
      <c r="L350">
        <v>6.98</v>
      </c>
      <c r="M350">
        <v>0.39</v>
      </c>
    </row>
    <row r="351" spans="1:13" x14ac:dyDescent="0.35">
      <c r="A351" t="s">
        <v>503</v>
      </c>
      <c r="B351" s="1">
        <v>43374</v>
      </c>
      <c r="C351" t="s">
        <v>535</v>
      </c>
      <c r="D351" t="s">
        <v>18</v>
      </c>
      <c r="E351" t="s">
        <v>540</v>
      </c>
      <c r="F351" t="s">
        <v>553</v>
      </c>
      <c r="G351" t="s">
        <v>504</v>
      </c>
      <c r="H351">
        <v>418.34</v>
      </c>
      <c r="I351">
        <v>0.08</v>
      </c>
      <c r="J351">
        <v>35</v>
      </c>
      <c r="K351">
        <v>73.569999999999993</v>
      </c>
      <c r="L351">
        <v>5.16</v>
      </c>
      <c r="M351">
        <v>0.43</v>
      </c>
    </row>
    <row r="352" spans="1:13" x14ac:dyDescent="0.35">
      <c r="A352" t="s">
        <v>503</v>
      </c>
      <c r="B352" s="1">
        <v>43374</v>
      </c>
      <c r="C352" t="s">
        <v>535</v>
      </c>
      <c r="D352" t="s">
        <v>10</v>
      </c>
      <c r="E352" t="s">
        <v>538</v>
      </c>
      <c r="F352" t="s">
        <v>544</v>
      </c>
      <c r="G352" t="s">
        <v>504</v>
      </c>
      <c r="H352">
        <v>45.61</v>
      </c>
      <c r="I352">
        <v>0.1</v>
      </c>
      <c r="J352">
        <v>12</v>
      </c>
      <c r="K352">
        <v>9.18</v>
      </c>
      <c r="L352">
        <v>0.7</v>
      </c>
      <c r="M352">
        <v>0.44</v>
      </c>
    </row>
    <row r="353" spans="1:13" x14ac:dyDescent="0.35">
      <c r="A353" t="s">
        <v>503</v>
      </c>
      <c r="B353" s="1">
        <v>43374</v>
      </c>
      <c r="C353" t="s">
        <v>535</v>
      </c>
      <c r="D353" t="s">
        <v>12</v>
      </c>
      <c r="E353" t="s">
        <v>538</v>
      </c>
      <c r="F353" t="s">
        <v>554</v>
      </c>
      <c r="G353" t="s">
        <v>504</v>
      </c>
      <c r="H353">
        <v>17.7</v>
      </c>
      <c r="I353">
        <v>0.06</v>
      </c>
      <c r="J353">
        <v>3</v>
      </c>
      <c r="K353">
        <v>-10.37</v>
      </c>
      <c r="L353">
        <v>4.79</v>
      </c>
      <c r="M353">
        <v>0.4</v>
      </c>
    </row>
    <row r="354" spans="1:13" x14ac:dyDescent="0.35">
      <c r="A354" t="s">
        <v>140</v>
      </c>
      <c r="B354" s="1">
        <v>43374</v>
      </c>
      <c r="C354" t="s">
        <v>533</v>
      </c>
      <c r="D354" t="s">
        <v>22</v>
      </c>
      <c r="E354" t="s">
        <v>538</v>
      </c>
      <c r="F354" t="s">
        <v>551</v>
      </c>
      <c r="G354" t="s">
        <v>139</v>
      </c>
      <c r="H354">
        <v>188.34</v>
      </c>
      <c r="I354">
        <v>0.04</v>
      </c>
      <c r="J354">
        <v>36</v>
      </c>
      <c r="K354">
        <v>-110.16</v>
      </c>
      <c r="L354">
        <v>5.74</v>
      </c>
      <c r="M354">
        <v>0.36</v>
      </c>
    </row>
    <row r="355" spans="1:13" x14ac:dyDescent="0.35">
      <c r="A355" t="s">
        <v>140</v>
      </c>
      <c r="B355" s="1">
        <v>43374</v>
      </c>
      <c r="C355" t="s">
        <v>533</v>
      </c>
      <c r="D355" t="s">
        <v>11</v>
      </c>
      <c r="E355" t="s">
        <v>545</v>
      </c>
      <c r="F355" t="s">
        <v>552</v>
      </c>
      <c r="G355" t="s">
        <v>139</v>
      </c>
      <c r="H355">
        <v>1493.8579999999999</v>
      </c>
      <c r="I355">
        <v>0.02</v>
      </c>
      <c r="J355">
        <v>26</v>
      </c>
      <c r="K355">
        <v>183.24</v>
      </c>
      <c r="L355">
        <v>8.8000000000000007</v>
      </c>
      <c r="M355">
        <v>0.57999999999999996</v>
      </c>
    </row>
    <row r="356" spans="1:13" x14ac:dyDescent="0.35">
      <c r="A356" t="s">
        <v>140</v>
      </c>
      <c r="B356" s="1">
        <v>43374</v>
      </c>
      <c r="C356" t="s">
        <v>533</v>
      </c>
      <c r="D356" t="s">
        <v>19</v>
      </c>
      <c r="E356" t="s">
        <v>538</v>
      </c>
      <c r="F356" t="s">
        <v>557</v>
      </c>
      <c r="G356" t="s">
        <v>139</v>
      </c>
      <c r="H356">
        <v>32.49</v>
      </c>
      <c r="I356">
        <v>0.08</v>
      </c>
      <c r="J356">
        <v>3</v>
      </c>
      <c r="K356">
        <v>-5.05</v>
      </c>
      <c r="L356">
        <v>1.39</v>
      </c>
      <c r="M356">
        <v>0.35</v>
      </c>
    </row>
    <row r="357" spans="1:13" x14ac:dyDescent="0.35">
      <c r="A357" t="s">
        <v>214</v>
      </c>
      <c r="B357" s="1">
        <v>43374</v>
      </c>
      <c r="C357" t="s">
        <v>536</v>
      </c>
      <c r="D357" t="s">
        <v>12</v>
      </c>
      <c r="E357" t="s">
        <v>538</v>
      </c>
      <c r="F357" t="s">
        <v>554</v>
      </c>
      <c r="G357" t="s">
        <v>211</v>
      </c>
      <c r="H357">
        <v>111.66</v>
      </c>
      <c r="I357">
        <v>0.06</v>
      </c>
      <c r="J357">
        <v>21</v>
      </c>
      <c r="K357">
        <v>-53.33</v>
      </c>
      <c r="L357">
        <v>5.49</v>
      </c>
      <c r="M357">
        <v>0.38</v>
      </c>
    </row>
    <row r="358" spans="1:13" x14ac:dyDescent="0.35">
      <c r="A358" t="s">
        <v>214</v>
      </c>
      <c r="B358" s="1">
        <v>43374</v>
      </c>
      <c r="C358" t="s">
        <v>536</v>
      </c>
      <c r="D358" t="s">
        <v>26</v>
      </c>
      <c r="E358" t="s">
        <v>545</v>
      </c>
      <c r="F358" t="s">
        <v>556</v>
      </c>
      <c r="G358" t="s">
        <v>211</v>
      </c>
      <c r="H358">
        <v>231.95</v>
      </c>
      <c r="I358">
        <v>0.03</v>
      </c>
      <c r="J358">
        <v>24</v>
      </c>
      <c r="K358">
        <v>44.14</v>
      </c>
      <c r="L358">
        <v>1.99</v>
      </c>
      <c r="M358">
        <v>0.43</v>
      </c>
    </row>
    <row r="359" spans="1:13" x14ac:dyDescent="0.35">
      <c r="A359" t="s">
        <v>172</v>
      </c>
      <c r="B359" s="1">
        <v>43374</v>
      </c>
      <c r="C359" t="s">
        <v>537</v>
      </c>
      <c r="D359" t="s">
        <v>18</v>
      </c>
      <c r="E359" t="s">
        <v>540</v>
      </c>
      <c r="F359" t="s">
        <v>553</v>
      </c>
      <c r="G359" t="s">
        <v>171</v>
      </c>
      <c r="H359">
        <v>199.12</v>
      </c>
      <c r="I359">
        <v>0.01</v>
      </c>
      <c r="J359">
        <v>24</v>
      </c>
      <c r="K359">
        <v>73.33</v>
      </c>
      <c r="L359">
        <v>0.96</v>
      </c>
      <c r="M359">
        <v>0.43</v>
      </c>
    </row>
    <row r="360" spans="1:13" x14ac:dyDescent="0.35">
      <c r="A360" t="s">
        <v>172</v>
      </c>
      <c r="B360" s="1">
        <v>43374</v>
      </c>
      <c r="C360" t="s">
        <v>537</v>
      </c>
      <c r="D360" t="s">
        <v>10</v>
      </c>
      <c r="E360" t="s">
        <v>538</v>
      </c>
      <c r="F360" t="s">
        <v>544</v>
      </c>
      <c r="G360" t="s">
        <v>171</v>
      </c>
      <c r="H360">
        <v>63.14</v>
      </c>
      <c r="I360">
        <v>0.06</v>
      </c>
      <c r="J360">
        <v>19</v>
      </c>
      <c r="K360">
        <v>-53.75</v>
      </c>
      <c r="L360">
        <v>3.97</v>
      </c>
      <c r="M360">
        <v>0.56000000000000005</v>
      </c>
    </row>
    <row r="361" spans="1:13" x14ac:dyDescent="0.35">
      <c r="A361" t="s">
        <v>57</v>
      </c>
      <c r="B361" s="1">
        <v>43375</v>
      </c>
      <c r="C361" t="s">
        <v>536</v>
      </c>
      <c r="D361" t="s">
        <v>11</v>
      </c>
      <c r="E361" t="s">
        <v>545</v>
      </c>
      <c r="F361" t="s">
        <v>552</v>
      </c>
      <c r="G361" t="s">
        <v>56</v>
      </c>
      <c r="H361">
        <v>1297.4485</v>
      </c>
      <c r="I361">
        <v>0.04</v>
      </c>
      <c r="J361">
        <v>18</v>
      </c>
      <c r="K361">
        <v>4.21</v>
      </c>
      <c r="L361">
        <v>10.78</v>
      </c>
      <c r="M361">
        <v>0.57999999999999996</v>
      </c>
    </row>
    <row r="362" spans="1:13" x14ac:dyDescent="0.35">
      <c r="A362" t="s">
        <v>210</v>
      </c>
      <c r="B362" s="1">
        <v>43375</v>
      </c>
      <c r="C362" t="s">
        <v>536</v>
      </c>
      <c r="D362" t="s">
        <v>22</v>
      </c>
      <c r="E362" t="s">
        <v>538</v>
      </c>
      <c r="F362" t="s">
        <v>551</v>
      </c>
      <c r="G362" t="s">
        <v>208</v>
      </c>
      <c r="H362">
        <v>138.24</v>
      </c>
      <c r="I362">
        <v>0.06</v>
      </c>
      <c r="J362">
        <v>22</v>
      </c>
      <c r="K362">
        <v>-48.22</v>
      </c>
      <c r="L362">
        <v>5.19</v>
      </c>
      <c r="M362">
        <v>0.38</v>
      </c>
    </row>
    <row r="363" spans="1:13" x14ac:dyDescent="0.35">
      <c r="A363" t="s">
        <v>184</v>
      </c>
      <c r="B363" s="1">
        <v>43375</v>
      </c>
      <c r="C363" t="s">
        <v>536</v>
      </c>
      <c r="D363" t="s">
        <v>10</v>
      </c>
      <c r="E363" t="s">
        <v>538</v>
      </c>
      <c r="F363" t="s">
        <v>544</v>
      </c>
      <c r="G363" t="s">
        <v>185</v>
      </c>
      <c r="H363">
        <v>124.84</v>
      </c>
      <c r="I363">
        <v>0.08</v>
      </c>
      <c r="J363">
        <v>20</v>
      </c>
      <c r="K363">
        <v>10.56</v>
      </c>
      <c r="L363">
        <v>1.56</v>
      </c>
      <c r="M363">
        <v>0.52</v>
      </c>
    </row>
    <row r="364" spans="1:13" x14ac:dyDescent="0.35">
      <c r="A364" t="s">
        <v>206</v>
      </c>
      <c r="B364" s="1">
        <v>43376</v>
      </c>
      <c r="C364" t="s">
        <v>535</v>
      </c>
      <c r="D364" t="s">
        <v>12</v>
      </c>
      <c r="E364" t="s">
        <v>538</v>
      </c>
      <c r="F364" t="s">
        <v>554</v>
      </c>
      <c r="G364" t="s">
        <v>205</v>
      </c>
      <c r="H364">
        <v>2430.34</v>
      </c>
      <c r="I364">
        <v>0.08</v>
      </c>
      <c r="J364">
        <v>46</v>
      </c>
      <c r="K364">
        <v>752.87</v>
      </c>
      <c r="L364">
        <v>13.88</v>
      </c>
      <c r="M364">
        <v>0.36</v>
      </c>
    </row>
    <row r="365" spans="1:13" x14ac:dyDescent="0.35">
      <c r="A365" t="s">
        <v>206</v>
      </c>
      <c r="B365" s="1">
        <v>43376</v>
      </c>
      <c r="C365" t="s">
        <v>535</v>
      </c>
      <c r="D365" t="s">
        <v>12</v>
      </c>
      <c r="E365" t="s">
        <v>538</v>
      </c>
      <c r="F365" t="s">
        <v>554</v>
      </c>
      <c r="G365" t="s">
        <v>205</v>
      </c>
      <c r="H365">
        <v>218.6</v>
      </c>
      <c r="I365">
        <v>0.05</v>
      </c>
      <c r="J365">
        <v>36</v>
      </c>
      <c r="K365">
        <v>-46.43</v>
      </c>
      <c r="L365">
        <v>4.96</v>
      </c>
      <c r="M365">
        <v>0.36</v>
      </c>
    </row>
    <row r="366" spans="1:13" x14ac:dyDescent="0.35">
      <c r="A366" t="s">
        <v>384</v>
      </c>
      <c r="B366" s="1">
        <v>43376</v>
      </c>
      <c r="C366" t="s">
        <v>536</v>
      </c>
      <c r="D366" t="s">
        <v>18</v>
      </c>
      <c r="E366" t="s">
        <v>540</v>
      </c>
      <c r="F366" t="s">
        <v>553</v>
      </c>
      <c r="G366" t="s">
        <v>381</v>
      </c>
      <c r="H366">
        <v>450.39</v>
      </c>
      <c r="I366">
        <v>7.0000000000000007E-2</v>
      </c>
      <c r="J366">
        <v>23</v>
      </c>
      <c r="K366">
        <v>152.79</v>
      </c>
      <c r="L366">
        <v>6.15</v>
      </c>
      <c r="M366">
        <v>0.44</v>
      </c>
    </row>
    <row r="367" spans="1:13" x14ac:dyDescent="0.35">
      <c r="A367" t="s">
        <v>384</v>
      </c>
      <c r="B367" s="1">
        <v>43376</v>
      </c>
      <c r="C367" t="s">
        <v>536</v>
      </c>
      <c r="D367" t="s">
        <v>11</v>
      </c>
      <c r="E367" t="s">
        <v>545</v>
      </c>
      <c r="F367" t="s">
        <v>552</v>
      </c>
      <c r="G367" t="s">
        <v>381</v>
      </c>
      <c r="H367">
        <v>1193.1195</v>
      </c>
      <c r="I367">
        <v>0.08</v>
      </c>
      <c r="J367">
        <v>17</v>
      </c>
      <c r="K367">
        <v>137.59</v>
      </c>
      <c r="L367">
        <v>0.99</v>
      </c>
      <c r="M367">
        <v>0.55000000000000004</v>
      </c>
    </row>
    <row r="368" spans="1:13" x14ac:dyDescent="0.35">
      <c r="A368" t="s">
        <v>523</v>
      </c>
      <c r="B368" s="1">
        <v>43377</v>
      </c>
      <c r="C368" t="s">
        <v>534</v>
      </c>
      <c r="D368" t="s">
        <v>13</v>
      </c>
      <c r="E368" t="s">
        <v>545</v>
      </c>
      <c r="F368" t="s">
        <v>549</v>
      </c>
      <c r="G368" t="s">
        <v>524</v>
      </c>
      <c r="H368">
        <v>2219.79</v>
      </c>
      <c r="I368">
        <v>0.1</v>
      </c>
      <c r="J368">
        <v>30</v>
      </c>
      <c r="K368">
        <v>-9.4499999999999993</v>
      </c>
      <c r="L368">
        <v>33.6</v>
      </c>
      <c r="M368">
        <v>0.37</v>
      </c>
    </row>
    <row r="369" spans="1:13" x14ac:dyDescent="0.35">
      <c r="A369" t="s">
        <v>523</v>
      </c>
      <c r="B369" s="1">
        <v>43377</v>
      </c>
      <c r="C369" t="s">
        <v>534</v>
      </c>
      <c r="D369" t="s">
        <v>12</v>
      </c>
      <c r="E369" t="s">
        <v>538</v>
      </c>
      <c r="F369" t="s">
        <v>554</v>
      </c>
      <c r="G369" t="s">
        <v>524</v>
      </c>
      <c r="H369">
        <v>237.36</v>
      </c>
      <c r="I369">
        <v>7.0000000000000007E-2</v>
      </c>
      <c r="J369">
        <v>25</v>
      </c>
      <c r="K369">
        <v>-117.86</v>
      </c>
      <c r="L369">
        <v>9.86</v>
      </c>
      <c r="M369">
        <v>0.4</v>
      </c>
    </row>
    <row r="370" spans="1:13" x14ac:dyDescent="0.35">
      <c r="A370" t="s">
        <v>196</v>
      </c>
      <c r="B370" s="1">
        <v>43377</v>
      </c>
      <c r="C370" t="s">
        <v>534</v>
      </c>
      <c r="D370" t="s">
        <v>15</v>
      </c>
      <c r="E370" t="s">
        <v>538</v>
      </c>
      <c r="F370" t="s">
        <v>550</v>
      </c>
      <c r="G370" t="s">
        <v>197</v>
      </c>
      <c r="H370">
        <v>9492.92</v>
      </c>
      <c r="I370">
        <v>0.05</v>
      </c>
      <c r="J370">
        <v>29</v>
      </c>
      <c r="K370">
        <v>772.04</v>
      </c>
      <c r="L370">
        <v>91.05</v>
      </c>
      <c r="M370">
        <v>0.56999999999999995</v>
      </c>
    </row>
    <row r="371" spans="1:13" x14ac:dyDescent="0.35">
      <c r="A371" t="s">
        <v>495</v>
      </c>
      <c r="B371" s="1">
        <v>43377</v>
      </c>
      <c r="C371" t="s">
        <v>536</v>
      </c>
      <c r="D371" t="s">
        <v>10</v>
      </c>
      <c r="E371" t="s">
        <v>538</v>
      </c>
      <c r="F371" t="s">
        <v>544</v>
      </c>
      <c r="G371" t="s">
        <v>494</v>
      </c>
      <c r="H371">
        <v>89.18</v>
      </c>
      <c r="I371">
        <v>0.04</v>
      </c>
      <c r="J371">
        <v>31</v>
      </c>
      <c r="K371">
        <v>21.73</v>
      </c>
      <c r="L371">
        <v>0.81</v>
      </c>
      <c r="M371">
        <v>0.4</v>
      </c>
    </row>
    <row r="372" spans="1:13" x14ac:dyDescent="0.35">
      <c r="A372" t="s">
        <v>495</v>
      </c>
      <c r="B372" s="1">
        <v>43377</v>
      </c>
      <c r="C372" t="s">
        <v>536</v>
      </c>
      <c r="D372" t="s">
        <v>11</v>
      </c>
      <c r="E372" t="s">
        <v>545</v>
      </c>
      <c r="F372" t="s">
        <v>552</v>
      </c>
      <c r="G372" t="s">
        <v>494</v>
      </c>
      <c r="H372">
        <v>1540.2850000000001</v>
      </c>
      <c r="I372">
        <v>0.05</v>
      </c>
      <c r="J372">
        <v>50</v>
      </c>
      <c r="K372">
        <v>829.65</v>
      </c>
      <c r="L372">
        <v>1.25</v>
      </c>
      <c r="M372">
        <v>0.36</v>
      </c>
    </row>
    <row r="373" spans="1:13" x14ac:dyDescent="0.35">
      <c r="A373" t="s">
        <v>304</v>
      </c>
      <c r="B373" s="1">
        <v>43377</v>
      </c>
      <c r="C373" t="s">
        <v>537</v>
      </c>
      <c r="D373" t="s">
        <v>22</v>
      </c>
      <c r="E373" t="s">
        <v>538</v>
      </c>
      <c r="F373" t="s">
        <v>551</v>
      </c>
      <c r="G373" t="s">
        <v>302</v>
      </c>
      <c r="H373">
        <v>3978.02</v>
      </c>
      <c r="I373">
        <v>0.08</v>
      </c>
      <c r="J373">
        <v>24</v>
      </c>
      <c r="K373">
        <v>1336.96</v>
      </c>
      <c r="L373">
        <v>19.989999999999998</v>
      </c>
      <c r="M373">
        <v>0.4</v>
      </c>
    </row>
    <row r="374" spans="1:13" x14ac:dyDescent="0.35">
      <c r="A374" t="s">
        <v>304</v>
      </c>
      <c r="B374" s="1">
        <v>43377</v>
      </c>
      <c r="C374" t="s">
        <v>537</v>
      </c>
      <c r="D374" t="s">
        <v>12</v>
      </c>
      <c r="E374" t="s">
        <v>538</v>
      </c>
      <c r="F374" t="s">
        <v>554</v>
      </c>
      <c r="G374" t="s">
        <v>302</v>
      </c>
      <c r="H374">
        <v>843.15</v>
      </c>
      <c r="I374">
        <v>0</v>
      </c>
      <c r="J374">
        <v>16</v>
      </c>
      <c r="K374">
        <v>355</v>
      </c>
      <c r="L374">
        <v>5.81</v>
      </c>
      <c r="M374">
        <v>0.38</v>
      </c>
    </row>
    <row r="375" spans="1:13" x14ac:dyDescent="0.35">
      <c r="A375" t="s">
        <v>437</v>
      </c>
      <c r="B375" s="1">
        <v>43377</v>
      </c>
      <c r="C375" t="s">
        <v>536</v>
      </c>
      <c r="D375" t="s">
        <v>15</v>
      </c>
      <c r="E375" t="s">
        <v>538</v>
      </c>
      <c r="F375" t="s">
        <v>550</v>
      </c>
      <c r="G375" t="s">
        <v>438</v>
      </c>
      <c r="H375">
        <v>235.09</v>
      </c>
      <c r="I375">
        <v>0.08</v>
      </c>
      <c r="J375">
        <v>43</v>
      </c>
      <c r="K375">
        <v>-1987.49</v>
      </c>
      <c r="L375">
        <v>49</v>
      </c>
      <c r="M375">
        <v>0.6</v>
      </c>
    </row>
    <row r="376" spans="1:13" x14ac:dyDescent="0.35">
      <c r="A376" t="s">
        <v>437</v>
      </c>
      <c r="B376" s="1">
        <v>43377</v>
      </c>
      <c r="C376" t="s">
        <v>536</v>
      </c>
      <c r="D376" t="s">
        <v>18</v>
      </c>
      <c r="E376" t="s">
        <v>540</v>
      </c>
      <c r="F376" t="s">
        <v>553</v>
      </c>
      <c r="G376" t="s">
        <v>438</v>
      </c>
      <c r="H376">
        <v>187.46</v>
      </c>
      <c r="I376">
        <v>0</v>
      </c>
      <c r="J376">
        <v>10</v>
      </c>
      <c r="K376">
        <v>49.85</v>
      </c>
      <c r="L376">
        <v>8.99</v>
      </c>
      <c r="M376">
        <v>0.47</v>
      </c>
    </row>
    <row r="377" spans="1:13" x14ac:dyDescent="0.35">
      <c r="A377" t="s">
        <v>442</v>
      </c>
      <c r="B377" s="1">
        <v>43377</v>
      </c>
      <c r="C377" t="s">
        <v>534</v>
      </c>
      <c r="D377" t="s">
        <v>10</v>
      </c>
      <c r="E377" t="s">
        <v>538</v>
      </c>
      <c r="F377" t="s">
        <v>544</v>
      </c>
      <c r="G377" t="s">
        <v>441</v>
      </c>
      <c r="H377">
        <v>203.4</v>
      </c>
      <c r="I377">
        <v>0.04</v>
      </c>
      <c r="J377">
        <v>29</v>
      </c>
      <c r="K377">
        <v>24.59</v>
      </c>
      <c r="L377">
        <v>2.35</v>
      </c>
      <c r="M377">
        <v>0.47</v>
      </c>
    </row>
    <row r="378" spans="1:13" x14ac:dyDescent="0.35">
      <c r="A378" t="s">
        <v>490</v>
      </c>
      <c r="B378" s="1">
        <v>43378</v>
      </c>
      <c r="C378" t="s">
        <v>533</v>
      </c>
      <c r="D378" t="s">
        <v>26</v>
      </c>
      <c r="E378" t="s">
        <v>545</v>
      </c>
      <c r="F378" t="s">
        <v>556</v>
      </c>
      <c r="G378" t="s">
        <v>489</v>
      </c>
      <c r="H378">
        <v>309.45999999999998</v>
      </c>
      <c r="I378">
        <v>0.08</v>
      </c>
      <c r="J378">
        <v>49</v>
      </c>
      <c r="K378">
        <v>-82.64</v>
      </c>
      <c r="L378">
        <v>2.74</v>
      </c>
      <c r="M378">
        <v>0.71</v>
      </c>
    </row>
    <row r="379" spans="1:13" x14ac:dyDescent="0.35">
      <c r="A379" t="s">
        <v>77</v>
      </c>
      <c r="B379" s="1">
        <v>43378</v>
      </c>
      <c r="C379" t="s">
        <v>535</v>
      </c>
      <c r="D379" t="s">
        <v>26</v>
      </c>
      <c r="E379" t="s">
        <v>545</v>
      </c>
      <c r="F379" t="s">
        <v>556</v>
      </c>
      <c r="G379" t="s">
        <v>75</v>
      </c>
      <c r="H379">
        <v>1538.33</v>
      </c>
      <c r="I379">
        <v>0.03</v>
      </c>
      <c r="J379">
        <v>39</v>
      </c>
      <c r="K379">
        <v>471.35</v>
      </c>
      <c r="L379">
        <v>1.99</v>
      </c>
      <c r="M379">
        <v>0.54</v>
      </c>
    </row>
    <row r="380" spans="1:13" x14ac:dyDescent="0.35">
      <c r="A380" t="s">
        <v>77</v>
      </c>
      <c r="B380" s="1">
        <v>43378</v>
      </c>
      <c r="C380" t="s">
        <v>535</v>
      </c>
      <c r="D380" t="s">
        <v>12</v>
      </c>
      <c r="E380" t="s">
        <v>538</v>
      </c>
      <c r="F380" t="s">
        <v>554</v>
      </c>
      <c r="G380" t="s">
        <v>75</v>
      </c>
      <c r="H380">
        <v>147.46</v>
      </c>
      <c r="I380">
        <v>0.06</v>
      </c>
      <c r="J380">
        <v>39</v>
      </c>
      <c r="K380">
        <v>14.13</v>
      </c>
      <c r="L380">
        <v>1.93</v>
      </c>
      <c r="M380">
        <v>0.35</v>
      </c>
    </row>
    <row r="381" spans="1:13" x14ac:dyDescent="0.35">
      <c r="A381" t="s">
        <v>446</v>
      </c>
      <c r="B381" s="1">
        <v>43379</v>
      </c>
      <c r="C381" t="s">
        <v>534</v>
      </c>
      <c r="D381" t="s">
        <v>22</v>
      </c>
      <c r="E381" t="s">
        <v>538</v>
      </c>
      <c r="F381" t="s">
        <v>551</v>
      </c>
      <c r="G381" t="s">
        <v>444</v>
      </c>
      <c r="H381">
        <v>132.72</v>
      </c>
      <c r="I381">
        <v>0.05</v>
      </c>
      <c r="J381">
        <v>14</v>
      </c>
      <c r="K381">
        <v>-9.18</v>
      </c>
      <c r="L381">
        <v>5.6</v>
      </c>
      <c r="M381">
        <v>0.36</v>
      </c>
    </row>
    <row r="382" spans="1:13" x14ac:dyDescent="0.35">
      <c r="A382" t="s">
        <v>39</v>
      </c>
      <c r="B382" s="1">
        <v>43379</v>
      </c>
      <c r="C382" t="s">
        <v>536</v>
      </c>
      <c r="D382" t="s">
        <v>10</v>
      </c>
      <c r="E382" t="s">
        <v>538</v>
      </c>
      <c r="F382" t="s">
        <v>544</v>
      </c>
      <c r="G382" t="s">
        <v>40</v>
      </c>
      <c r="H382">
        <v>138.96</v>
      </c>
      <c r="I382">
        <v>0.03</v>
      </c>
      <c r="J382">
        <v>49</v>
      </c>
      <c r="K382">
        <v>19.87</v>
      </c>
      <c r="L382">
        <v>0.7</v>
      </c>
      <c r="M382">
        <v>0.56000000000000005</v>
      </c>
    </row>
    <row r="383" spans="1:13" x14ac:dyDescent="0.35">
      <c r="A383" t="s">
        <v>39</v>
      </c>
      <c r="B383" s="1">
        <v>43379</v>
      </c>
      <c r="C383" t="s">
        <v>536</v>
      </c>
      <c r="D383" t="s">
        <v>22</v>
      </c>
      <c r="E383" t="s">
        <v>538</v>
      </c>
      <c r="F383" t="s">
        <v>551</v>
      </c>
      <c r="G383" t="s">
        <v>40</v>
      </c>
      <c r="H383">
        <v>158.97</v>
      </c>
      <c r="I383">
        <v>0.08</v>
      </c>
      <c r="J383">
        <v>39</v>
      </c>
      <c r="K383">
        <v>-30.27</v>
      </c>
      <c r="L383">
        <v>2.99</v>
      </c>
      <c r="M383">
        <v>0.37</v>
      </c>
    </row>
    <row r="384" spans="1:13" x14ac:dyDescent="0.35">
      <c r="A384" t="s">
        <v>492</v>
      </c>
      <c r="B384" s="1">
        <v>43380</v>
      </c>
      <c r="C384" t="s">
        <v>536</v>
      </c>
      <c r="D384" t="s">
        <v>22</v>
      </c>
      <c r="E384" t="s">
        <v>538</v>
      </c>
      <c r="F384" t="s">
        <v>551</v>
      </c>
      <c r="G384" t="s">
        <v>491</v>
      </c>
      <c r="H384">
        <v>55.59</v>
      </c>
      <c r="I384">
        <v>0.03</v>
      </c>
      <c r="J384">
        <v>8</v>
      </c>
      <c r="K384">
        <v>-17.95</v>
      </c>
      <c r="L384">
        <v>5.74</v>
      </c>
      <c r="M384">
        <v>0.36</v>
      </c>
    </row>
    <row r="385" spans="1:13" x14ac:dyDescent="0.35">
      <c r="A385" t="s">
        <v>249</v>
      </c>
      <c r="B385" s="1">
        <v>43381</v>
      </c>
      <c r="C385" t="s">
        <v>533</v>
      </c>
      <c r="D385" t="s">
        <v>22</v>
      </c>
      <c r="E385" t="s">
        <v>538</v>
      </c>
      <c r="F385" t="s">
        <v>551</v>
      </c>
      <c r="G385" t="s">
        <v>250</v>
      </c>
      <c r="H385">
        <v>376.65</v>
      </c>
      <c r="I385">
        <v>0</v>
      </c>
      <c r="J385">
        <v>16</v>
      </c>
      <c r="K385">
        <v>-52.65</v>
      </c>
      <c r="L385">
        <v>15.1</v>
      </c>
      <c r="M385">
        <v>0.38</v>
      </c>
    </row>
    <row r="386" spans="1:13" x14ac:dyDescent="0.35">
      <c r="A386" t="s">
        <v>249</v>
      </c>
      <c r="B386" s="1">
        <v>43381</v>
      </c>
      <c r="C386" t="s">
        <v>533</v>
      </c>
      <c r="D386" t="s">
        <v>25</v>
      </c>
      <c r="E386" t="s">
        <v>538</v>
      </c>
      <c r="F386" t="s">
        <v>539</v>
      </c>
      <c r="G386" t="s">
        <v>250</v>
      </c>
      <c r="H386">
        <v>40.06</v>
      </c>
      <c r="I386">
        <v>7.0000000000000007E-2</v>
      </c>
      <c r="J386">
        <v>6</v>
      </c>
      <c r="K386">
        <v>-24.44</v>
      </c>
      <c r="L386">
        <v>4.6900000000000004</v>
      </c>
      <c r="M386">
        <v>0.68</v>
      </c>
    </row>
    <row r="387" spans="1:13" x14ac:dyDescent="0.35">
      <c r="A387" t="s">
        <v>439</v>
      </c>
      <c r="B387" s="1">
        <v>43381</v>
      </c>
      <c r="C387" t="s">
        <v>535</v>
      </c>
      <c r="D387" t="s">
        <v>25</v>
      </c>
      <c r="E387" t="s">
        <v>538</v>
      </c>
      <c r="F387" t="s">
        <v>539</v>
      </c>
      <c r="G387" t="s">
        <v>438</v>
      </c>
      <c r="H387">
        <v>6163.52</v>
      </c>
      <c r="I387">
        <v>0.02</v>
      </c>
      <c r="J387">
        <v>26</v>
      </c>
      <c r="K387">
        <v>755.95</v>
      </c>
      <c r="L387">
        <v>28.66</v>
      </c>
      <c r="M387">
        <v>0.72</v>
      </c>
    </row>
    <row r="388" spans="1:13" x14ac:dyDescent="0.35">
      <c r="A388" t="s">
        <v>115</v>
      </c>
      <c r="B388" s="1">
        <v>43381</v>
      </c>
      <c r="C388" t="s">
        <v>537</v>
      </c>
      <c r="D388" t="s">
        <v>18</v>
      </c>
      <c r="E388" t="s">
        <v>540</v>
      </c>
      <c r="F388" t="s">
        <v>553</v>
      </c>
      <c r="G388" t="s">
        <v>114</v>
      </c>
      <c r="H388">
        <v>1003.31</v>
      </c>
      <c r="I388">
        <v>0.01</v>
      </c>
      <c r="J388">
        <v>23</v>
      </c>
      <c r="K388">
        <v>51.9</v>
      </c>
      <c r="L388">
        <v>14.45</v>
      </c>
      <c r="M388">
        <v>0.56999999999999995</v>
      </c>
    </row>
    <row r="389" spans="1:13" x14ac:dyDescent="0.35">
      <c r="A389" t="s">
        <v>115</v>
      </c>
      <c r="B389" s="1">
        <v>43381</v>
      </c>
      <c r="C389" t="s">
        <v>537</v>
      </c>
      <c r="D389" t="s">
        <v>16</v>
      </c>
      <c r="E389" t="s">
        <v>540</v>
      </c>
      <c r="F389" t="s">
        <v>542</v>
      </c>
      <c r="G389" t="s">
        <v>114</v>
      </c>
      <c r="H389">
        <v>6048.18</v>
      </c>
      <c r="I389">
        <v>0.04</v>
      </c>
      <c r="J389">
        <v>17</v>
      </c>
      <c r="K389">
        <v>1418.36</v>
      </c>
      <c r="L389">
        <v>60</v>
      </c>
      <c r="M389" t="s">
        <v>32</v>
      </c>
    </row>
    <row r="390" spans="1:13" x14ac:dyDescent="0.35">
      <c r="A390" t="s">
        <v>249</v>
      </c>
      <c r="B390" s="1">
        <v>43381</v>
      </c>
      <c r="C390" t="s">
        <v>533</v>
      </c>
      <c r="D390" t="s">
        <v>11</v>
      </c>
      <c r="E390" t="s">
        <v>545</v>
      </c>
      <c r="F390" t="s">
        <v>552</v>
      </c>
      <c r="G390" t="s">
        <v>247</v>
      </c>
      <c r="H390">
        <v>1665.0395000000001</v>
      </c>
      <c r="I390">
        <v>0.02</v>
      </c>
      <c r="J390">
        <v>35</v>
      </c>
      <c r="K390">
        <v>366.51</v>
      </c>
      <c r="L390">
        <v>3.3</v>
      </c>
      <c r="M390">
        <v>0.59</v>
      </c>
    </row>
    <row r="391" spans="1:13" x14ac:dyDescent="0.35">
      <c r="A391" t="s">
        <v>242</v>
      </c>
      <c r="B391" s="1">
        <v>43382</v>
      </c>
      <c r="C391" t="s">
        <v>535</v>
      </c>
      <c r="D391" t="s">
        <v>25</v>
      </c>
      <c r="E391" t="s">
        <v>538</v>
      </c>
      <c r="F391" t="s">
        <v>539</v>
      </c>
      <c r="G391" t="s">
        <v>243</v>
      </c>
      <c r="H391">
        <v>2367.9899999999998</v>
      </c>
      <c r="I391">
        <v>0.04</v>
      </c>
      <c r="J391">
        <v>14</v>
      </c>
      <c r="K391">
        <v>320.10000000000002</v>
      </c>
      <c r="L391">
        <v>11.87</v>
      </c>
      <c r="M391">
        <v>0.62</v>
      </c>
    </row>
    <row r="392" spans="1:13" x14ac:dyDescent="0.35">
      <c r="A392" t="s">
        <v>297</v>
      </c>
      <c r="B392" s="1">
        <v>43382</v>
      </c>
      <c r="C392" t="s">
        <v>535</v>
      </c>
      <c r="D392" t="s">
        <v>18</v>
      </c>
      <c r="E392" t="s">
        <v>540</v>
      </c>
      <c r="F392" t="s">
        <v>553</v>
      </c>
      <c r="G392" t="s">
        <v>298</v>
      </c>
      <c r="H392">
        <v>522.05999999999995</v>
      </c>
      <c r="I392">
        <v>0.06</v>
      </c>
      <c r="J392">
        <v>5</v>
      </c>
      <c r="K392">
        <v>319.64</v>
      </c>
      <c r="L392">
        <v>13.99</v>
      </c>
      <c r="M392">
        <v>0.65</v>
      </c>
    </row>
    <row r="393" spans="1:13" x14ac:dyDescent="0.35">
      <c r="A393" t="s">
        <v>297</v>
      </c>
      <c r="B393" s="1">
        <v>43382</v>
      </c>
      <c r="C393" t="s">
        <v>535</v>
      </c>
      <c r="D393" t="s">
        <v>10</v>
      </c>
      <c r="E393" t="s">
        <v>538</v>
      </c>
      <c r="F393" t="s">
        <v>544</v>
      </c>
      <c r="G393" t="s">
        <v>298</v>
      </c>
      <c r="H393">
        <v>1218.08</v>
      </c>
      <c r="I393">
        <v>0.1</v>
      </c>
      <c r="J393">
        <v>37</v>
      </c>
      <c r="K393">
        <v>99.79</v>
      </c>
      <c r="L393">
        <v>8.99</v>
      </c>
      <c r="M393">
        <v>0.56000000000000005</v>
      </c>
    </row>
    <row r="394" spans="1:13" x14ac:dyDescent="0.35">
      <c r="A394" t="s">
        <v>483</v>
      </c>
      <c r="B394" s="1">
        <v>43385</v>
      </c>
      <c r="C394" t="s">
        <v>536</v>
      </c>
      <c r="D394" t="s">
        <v>12</v>
      </c>
      <c r="E394" t="s">
        <v>538</v>
      </c>
      <c r="F394" t="s">
        <v>554</v>
      </c>
      <c r="G394" t="s">
        <v>482</v>
      </c>
      <c r="H394">
        <v>172.9</v>
      </c>
      <c r="I394">
        <v>0</v>
      </c>
      <c r="J394">
        <v>23</v>
      </c>
      <c r="K394">
        <v>51.43</v>
      </c>
      <c r="L394">
        <v>2</v>
      </c>
      <c r="M394">
        <v>0.39</v>
      </c>
    </row>
    <row r="395" spans="1:13" x14ac:dyDescent="0.35">
      <c r="A395" t="s">
        <v>199</v>
      </c>
      <c r="B395" s="1">
        <v>43385</v>
      </c>
      <c r="C395" t="s">
        <v>535</v>
      </c>
      <c r="D395" t="s">
        <v>20</v>
      </c>
      <c r="E395" t="s">
        <v>540</v>
      </c>
      <c r="F395" t="s">
        <v>547</v>
      </c>
      <c r="G395" t="s">
        <v>200</v>
      </c>
      <c r="H395">
        <v>7341.96</v>
      </c>
      <c r="I395">
        <v>0</v>
      </c>
      <c r="J395">
        <v>32</v>
      </c>
      <c r="K395">
        <v>764.95</v>
      </c>
      <c r="L395">
        <v>64.2</v>
      </c>
      <c r="M395">
        <v>0.59</v>
      </c>
    </row>
    <row r="396" spans="1:13" x14ac:dyDescent="0.35">
      <c r="A396" t="s">
        <v>433</v>
      </c>
      <c r="B396" s="1">
        <v>43386</v>
      </c>
      <c r="C396" t="s">
        <v>533</v>
      </c>
      <c r="D396" t="s">
        <v>25</v>
      </c>
      <c r="E396" t="s">
        <v>538</v>
      </c>
      <c r="F396" t="s">
        <v>539</v>
      </c>
      <c r="G396" t="s">
        <v>434</v>
      </c>
      <c r="H396">
        <v>261.54000000000002</v>
      </c>
      <c r="I396">
        <v>0.04</v>
      </c>
      <c r="J396">
        <v>6</v>
      </c>
      <c r="K396">
        <v>-213.25</v>
      </c>
      <c r="L396">
        <v>35</v>
      </c>
      <c r="M396">
        <v>0.8</v>
      </c>
    </row>
    <row r="397" spans="1:13" x14ac:dyDescent="0.35">
      <c r="A397" t="s">
        <v>403</v>
      </c>
      <c r="B397" s="1">
        <v>43387</v>
      </c>
      <c r="C397" t="s">
        <v>535</v>
      </c>
      <c r="D397" t="s">
        <v>13</v>
      </c>
      <c r="E397" t="s">
        <v>545</v>
      </c>
      <c r="F397" t="s">
        <v>549</v>
      </c>
      <c r="G397" t="s">
        <v>404</v>
      </c>
      <c r="H397">
        <v>17304.849999999999</v>
      </c>
      <c r="I397">
        <v>0.05</v>
      </c>
      <c r="J397">
        <v>36</v>
      </c>
      <c r="K397">
        <v>7434.48</v>
      </c>
      <c r="L397">
        <v>28.14</v>
      </c>
      <c r="M397">
        <v>0.38</v>
      </c>
    </row>
    <row r="398" spans="1:13" x14ac:dyDescent="0.35">
      <c r="A398" t="s">
        <v>403</v>
      </c>
      <c r="B398" s="1">
        <v>43387</v>
      </c>
      <c r="C398" t="s">
        <v>535</v>
      </c>
      <c r="D398" t="s">
        <v>12</v>
      </c>
      <c r="E398" t="s">
        <v>538</v>
      </c>
      <c r="F398" t="s">
        <v>554</v>
      </c>
      <c r="G398" t="s">
        <v>404</v>
      </c>
      <c r="H398">
        <v>794.32</v>
      </c>
      <c r="I398">
        <v>0.08</v>
      </c>
      <c r="J398">
        <v>20</v>
      </c>
      <c r="K398">
        <v>67.61</v>
      </c>
      <c r="L398">
        <v>17.48</v>
      </c>
      <c r="M398">
        <v>0.36</v>
      </c>
    </row>
    <row r="399" spans="1:13" x14ac:dyDescent="0.35">
      <c r="A399" t="s">
        <v>507</v>
      </c>
      <c r="B399" s="1">
        <v>43399</v>
      </c>
      <c r="C399" t="s">
        <v>533</v>
      </c>
      <c r="D399" t="s">
        <v>18</v>
      </c>
      <c r="E399" t="s">
        <v>540</v>
      </c>
      <c r="F399" t="s">
        <v>553</v>
      </c>
      <c r="G399" t="s">
        <v>508</v>
      </c>
      <c r="H399">
        <v>689.67</v>
      </c>
      <c r="I399">
        <v>7.0000000000000007E-2</v>
      </c>
      <c r="J399">
        <v>38</v>
      </c>
      <c r="K399">
        <v>51.47</v>
      </c>
      <c r="L399">
        <v>8.99</v>
      </c>
      <c r="M399">
        <v>0.47</v>
      </c>
    </row>
    <row r="400" spans="1:13" x14ac:dyDescent="0.35">
      <c r="A400" t="s">
        <v>186</v>
      </c>
      <c r="B400" s="1">
        <v>43402</v>
      </c>
      <c r="C400" t="s">
        <v>535</v>
      </c>
      <c r="D400" t="s">
        <v>15</v>
      </c>
      <c r="E400" t="s">
        <v>538</v>
      </c>
      <c r="F400" t="s">
        <v>550</v>
      </c>
      <c r="G400" t="s">
        <v>187</v>
      </c>
      <c r="H400">
        <v>199.93</v>
      </c>
      <c r="I400">
        <v>0.1</v>
      </c>
      <c r="J400">
        <v>14</v>
      </c>
      <c r="K400">
        <v>-105.33</v>
      </c>
      <c r="L400">
        <v>13.32</v>
      </c>
      <c r="M400">
        <v>0.43</v>
      </c>
    </row>
    <row r="401" spans="1:13" x14ac:dyDescent="0.35">
      <c r="A401" t="s">
        <v>289</v>
      </c>
      <c r="B401" s="1">
        <v>43403</v>
      </c>
      <c r="C401" t="s">
        <v>534</v>
      </c>
      <c r="D401" t="s">
        <v>15</v>
      </c>
      <c r="E401" t="s">
        <v>538</v>
      </c>
      <c r="F401" t="s">
        <v>550</v>
      </c>
      <c r="G401" t="s">
        <v>288</v>
      </c>
      <c r="H401">
        <v>5198.12</v>
      </c>
      <c r="I401">
        <v>0.01</v>
      </c>
      <c r="J401">
        <v>48</v>
      </c>
      <c r="K401">
        <v>1481.67</v>
      </c>
      <c r="L401">
        <v>15.66</v>
      </c>
      <c r="M401">
        <v>0.56999999999999995</v>
      </c>
    </row>
    <row r="402" spans="1:13" x14ac:dyDescent="0.35">
      <c r="A402" t="s">
        <v>289</v>
      </c>
      <c r="B402" s="1">
        <v>43403</v>
      </c>
      <c r="C402" t="s">
        <v>534</v>
      </c>
      <c r="D402" t="s">
        <v>12</v>
      </c>
      <c r="E402" t="s">
        <v>538</v>
      </c>
      <c r="F402" t="s">
        <v>554</v>
      </c>
      <c r="G402" t="s">
        <v>288</v>
      </c>
      <c r="H402">
        <v>188.53</v>
      </c>
      <c r="I402">
        <v>0</v>
      </c>
      <c r="J402">
        <v>23</v>
      </c>
      <c r="K402">
        <v>-27.49</v>
      </c>
      <c r="L402">
        <v>5.96</v>
      </c>
      <c r="M402">
        <v>0.38</v>
      </c>
    </row>
    <row r="403" spans="1:13" x14ac:dyDescent="0.35">
      <c r="A403" t="s">
        <v>289</v>
      </c>
      <c r="B403" s="1">
        <v>43403</v>
      </c>
      <c r="C403" t="s">
        <v>534</v>
      </c>
      <c r="D403" t="s">
        <v>12</v>
      </c>
      <c r="E403" t="s">
        <v>538</v>
      </c>
      <c r="F403" t="s">
        <v>554</v>
      </c>
      <c r="G403" t="s">
        <v>288</v>
      </c>
      <c r="H403">
        <v>718.41</v>
      </c>
      <c r="I403">
        <v>0.1</v>
      </c>
      <c r="J403">
        <v>19</v>
      </c>
      <c r="K403">
        <v>23.94</v>
      </c>
      <c r="L403">
        <v>17.48</v>
      </c>
      <c r="M403">
        <v>0.36</v>
      </c>
    </row>
    <row r="404" spans="1:13" x14ac:dyDescent="0.35">
      <c r="A404" t="s">
        <v>385</v>
      </c>
      <c r="B404" s="1">
        <v>43405</v>
      </c>
      <c r="C404" t="s">
        <v>533</v>
      </c>
      <c r="D404" t="s">
        <v>20</v>
      </c>
      <c r="E404" t="s">
        <v>540</v>
      </c>
      <c r="F404" t="s">
        <v>547</v>
      </c>
      <c r="G404" t="s">
        <v>386</v>
      </c>
      <c r="H404">
        <v>9843.11</v>
      </c>
      <c r="I404">
        <v>7.0000000000000007E-2</v>
      </c>
      <c r="J404">
        <v>35</v>
      </c>
      <c r="K404">
        <v>-384.6</v>
      </c>
      <c r="L404">
        <v>57</v>
      </c>
      <c r="M404">
        <v>0.78</v>
      </c>
    </row>
    <row r="405" spans="1:13" x14ac:dyDescent="0.35">
      <c r="A405" t="s">
        <v>385</v>
      </c>
      <c r="B405" s="1">
        <v>43405</v>
      </c>
      <c r="C405" t="s">
        <v>533</v>
      </c>
      <c r="D405" t="s">
        <v>13</v>
      </c>
      <c r="E405" t="s">
        <v>545</v>
      </c>
      <c r="F405" t="s">
        <v>549</v>
      </c>
      <c r="G405" t="s">
        <v>386</v>
      </c>
      <c r="H405">
        <v>7190.06</v>
      </c>
      <c r="I405">
        <v>0.08</v>
      </c>
      <c r="J405">
        <v>15</v>
      </c>
      <c r="K405">
        <v>1908.45</v>
      </c>
      <c r="L405">
        <v>28.14</v>
      </c>
      <c r="M405">
        <v>0.38</v>
      </c>
    </row>
    <row r="406" spans="1:13" x14ac:dyDescent="0.35">
      <c r="A406" t="s">
        <v>31</v>
      </c>
      <c r="B406" s="1">
        <v>43405</v>
      </c>
      <c r="C406" t="s">
        <v>535</v>
      </c>
      <c r="D406" t="s">
        <v>26</v>
      </c>
      <c r="E406" t="s">
        <v>545</v>
      </c>
      <c r="F406" t="s">
        <v>556</v>
      </c>
      <c r="G406" t="s">
        <v>30</v>
      </c>
      <c r="H406">
        <v>1143.45</v>
      </c>
      <c r="I406">
        <v>0.06</v>
      </c>
      <c r="J406">
        <v>31</v>
      </c>
      <c r="K406">
        <v>304.42</v>
      </c>
      <c r="L406">
        <v>1.99</v>
      </c>
      <c r="M406">
        <v>0.51</v>
      </c>
    </row>
    <row r="407" spans="1:13" x14ac:dyDescent="0.35">
      <c r="A407" t="s">
        <v>331</v>
      </c>
      <c r="B407" s="1">
        <v>43405</v>
      </c>
      <c r="C407" t="s">
        <v>535</v>
      </c>
      <c r="D407" t="s">
        <v>18</v>
      </c>
      <c r="E407" t="s">
        <v>540</v>
      </c>
      <c r="F407" t="s">
        <v>553</v>
      </c>
      <c r="G407" t="s">
        <v>329</v>
      </c>
      <c r="H407">
        <v>1965.21</v>
      </c>
      <c r="I407">
        <v>0</v>
      </c>
      <c r="J407">
        <v>24</v>
      </c>
      <c r="K407">
        <v>830.75</v>
      </c>
      <c r="L407">
        <v>19.989999999999998</v>
      </c>
      <c r="M407">
        <v>0.43</v>
      </c>
    </row>
    <row r="408" spans="1:13" x14ac:dyDescent="0.35">
      <c r="A408" t="s">
        <v>261</v>
      </c>
      <c r="B408" s="1">
        <v>43406</v>
      </c>
      <c r="C408" t="s">
        <v>537</v>
      </c>
      <c r="D408" t="s">
        <v>15</v>
      </c>
      <c r="E408" t="s">
        <v>538</v>
      </c>
      <c r="F408" t="s">
        <v>550</v>
      </c>
      <c r="G408" t="s">
        <v>260</v>
      </c>
      <c r="H408">
        <v>1002.73</v>
      </c>
      <c r="I408">
        <v>0.08</v>
      </c>
      <c r="J408">
        <v>17</v>
      </c>
      <c r="K408">
        <v>-563.86</v>
      </c>
      <c r="L408">
        <v>49</v>
      </c>
      <c r="M408">
        <v>0.59</v>
      </c>
    </row>
    <row r="409" spans="1:13" x14ac:dyDescent="0.35">
      <c r="A409" t="s">
        <v>158</v>
      </c>
      <c r="B409" s="1">
        <v>43407</v>
      </c>
      <c r="C409" t="s">
        <v>534</v>
      </c>
      <c r="D409" t="s">
        <v>22</v>
      </c>
      <c r="E409" t="s">
        <v>538</v>
      </c>
      <c r="F409" t="s">
        <v>551</v>
      </c>
      <c r="G409" t="s">
        <v>157</v>
      </c>
      <c r="H409">
        <v>317.58999999999997</v>
      </c>
      <c r="I409">
        <v>0.06</v>
      </c>
      <c r="J409">
        <v>36</v>
      </c>
      <c r="K409">
        <v>-46.12</v>
      </c>
      <c r="L409">
        <v>6.19</v>
      </c>
      <c r="M409">
        <v>0.38</v>
      </c>
    </row>
    <row r="410" spans="1:13" x14ac:dyDescent="0.35">
      <c r="A410" t="s">
        <v>520</v>
      </c>
      <c r="B410" s="1">
        <v>43407</v>
      </c>
      <c r="C410" t="s">
        <v>533</v>
      </c>
      <c r="D410" t="s">
        <v>13</v>
      </c>
      <c r="E410" t="s">
        <v>545</v>
      </c>
      <c r="F410" t="s">
        <v>549</v>
      </c>
      <c r="G410" t="s">
        <v>517</v>
      </c>
      <c r="H410">
        <v>16587.13</v>
      </c>
      <c r="I410">
        <v>0.08</v>
      </c>
      <c r="J410">
        <v>7</v>
      </c>
      <c r="K410">
        <v>-3476.86</v>
      </c>
      <c r="L410">
        <v>29.7</v>
      </c>
      <c r="M410">
        <v>0.56999999999999995</v>
      </c>
    </row>
    <row r="411" spans="1:13" x14ac:dyDescent="0.35">
      <c r="A411" t="s">
        <v>520</v>
      </c>
      <c r="B411" s="1">
        <v>43407</v>
      </c>
      <c r="C411" t="s">
        <v>533</v>
      </c>
      <c r="D411" t="s">
        <v>12</v>
      </c>
      <c r="E411" t="s">
        <v>538</v>
      </c>
      <c r="F411" t="s">
        <v>554</v>
      </c>
      <c r="G411" t="s">
        <v>517</v>
      </c>
      <c r="H411">
        <v>507.98</v>
      </c>
      <c r="I411">
        <v>0.05</v>
      </c>
      <c r="J411">
        <v>9</v>
      </c>
      <c r="K411">
        <v>170.9</v>
      </c>
      <c r="L411">
        <v>4.8600000000000003</v>
      </c>
      <c r="M411">
        <v>0.36</v>
      </c>
    </row>
    <row r="412" spans="1:13" x14ac:dyDescent="0.35">
      <c r="A412" t="s">
        <v>90</v>
      </c>
      <c r="B412" s="1">
        <v>43408</v>
      </c>
      <c r="C412" t="s">
        <v>534</v>
      </c>
      <c r="D412" t="s">
        <v>22</v>
      </c>
      <c r="E412" t="s">
        <v>538</v>
      </c>
      <c r="F412" t="s">
        <v>551</v>
      </c>
      <c r="G412" t="s">
        <v>91</v>
      </c>
      <c r="H412">
        <v>887.45</v>
      </c>
      <c r="I412">
        <v>0.1</v>
      </c>
      <c r="J412">
        <v>47</v>
      </c>
      <c r="K412">
        <v>365.79</v>
      </c>
      <c r="L412">
        <v>1.49</v>
      </c>
      <c r="M412">
        <v>0.35</v>
      </c>
    </row>
    <row r="413" spans="1:13" x14ac:dyDescent="0.35">
      <c r="A413" t="s">
        <v>90</v>
      </c>
      <c r="B413" s="1">
        <v>43408</v>
      </c>
      <c r="C413" t="s">
        <v>534</v>
      </c>
      <c r="D413" t="s">
        <v>12</v>
      </c>
      <c r="E413" t="s">
        <v>538</v>
      </c>
      <c r="F413" t="s">
        <v>554</v>
      </c>
      <c r="G413" t="s">
        <v>91</v>
      </c>
      <c r="H413">
        <v>355.97</v>
      </c>
      <c r="I413">
        <v>0.03</v>
      </c>
      <c r="J413">
        <v>7</v>
      </c>
      <c r="K413">
        <v>-4.46</v>
      </c>
      <c r="L413">
        <v>19.989999999999998</v>
      </c>
      <c r="M413">
        <v>0.37</v>
      </c>
    </row>
    <row r="414" spans="1:13" x14ac:dyDescent="0.35">
      <c r="A414" t="s">
        <v>497</v>
      </c>
      <c r="B414" s="1">
        <v>43408</v>
      </c>
      <c r="C414" t="s">
        <v>535</v>
      </c>
      <c r="D414" t="s">
        <v>18</v>
      </c>
      <c r="E414" t="s">
        <v>540</v>
      </c>
      <c r="F414" t="s">
        <v>553</v>
      </c>
      <c r="G414" t="s">
        <v>498</v>
      </c>
      <c r="H414">
        <v>430.55</v>
      </c>
      <c r="I414">
        <v>0</v>
      </c>
      <c r="J414">
        <v>35</v>
      </c>
      <c r="K414">
        <v>120.01</v>
      </c>
      <c r="L414">
        <v>2.85</v>
      </c>
      <c r="M414">
        <v>0.55000000000000004</v>
      </c>
    </row>
    <row r="415" spans="1:13" x14ac:dyDescent="0.35">
      <c r="A415" t="s">
        <v>519</v>
      </c>
      <c r="B415" s="1">
        <v>43408</v>
      </c>
      <c r="C415" t="s">
        <v>536</v>
      </c>
      <c r="D415" t="s">
        <v>11</v>
      </c>
      <c r="E415" t="s">
        <v>545</v>
      </c>
      <c r="F415" t="s">
        <v>552</v>
      </c>
      <c r="G415" t="s">
        <v>517</v>
      </c>
      <c r="H415">
        <v>3821.0390000000002</v>
      </c>
      <c r="I415">
        <v>0.05</v>
      </c>
      <c r="J415">
        <v>38</v>
      </c>
      <c r="K415">
        <v>1057.8900000000001</v>
      </c>
      <c r="L415">
        <v>5.99</v>
      </c>
      <c r="M415">
        <v>0.56999999999999995</v>
      </c>
    </row>
    <row r="416" spans="1:13" x14ac:dyDescent="0.35">
      <c r="A416" t="s">
        <v>287</v>
      </c>
      <c r="B416" s="1">
        <v>43410</v>
      </c>
      <c r="C416" t="s">
        <v>535</v>
      </c>
      <c r="D416" t="s">
        <v>11</v>
      </c>
      <c r="E416" t="s">
        <v>545</v>
      </c>
      <c r="F416" t="s">
        <v>552</v>
      </c>
      <c r="G416" t="s">
        <v>285</v>
      </c>
      <c r="H416">
        <v>1495.184</v>
      </c>
      <c r="I416">
        <v>0</v>
      </c>
      <c r="J416">
        <v>26</v>
      </c>
      <c r="K416">
        <v>211.09</v>
      </c>
      <c r="L416">
        <v>8.99</v>
      </c>
      <c r="M416">
        <v>0.56000000000000005</v>
      </c>
    </row>
    <row r="417" spans="1:13" x14ac:dyDescent="0.35">
      <c r="A417" t="s">
        <v>238</v>
      </c>
      <c r="B417" s="1">
        <v>43410</v>
      </c>
      <c r="C417" t="s">
        <v>537</v>
      </c>
      <c r="D417" t="s">
        <v>11</v>
      </c>
      <c r="E417" t="s">
        <v>545</v>
      </c>
      <c r="F417" t="s">
        <v>552</v>
      </c>
      <c r="G417" t="s">
        <v>239</v>
      </c>
      <c r="H417">
        <v>1388.6279999999999</v>
      </c>
      <c r="I417">
        <v>0.03</v>
      </c>
      <c r="J417">
        <v>24</v>
      </c>
      <c r="K417">
        <v>261.52</v>
      </c>
      <c r="L417">
        <v>5.26</v>
      </c>
      <c r="M417">
        <v>0.56000000000000005</v>
      </c>
    </row>
    <row r="418" spans="1:13" x14ac:dyDescent="0.35">
      <c r="A418" t="s">
        <v>238</v>
      </c>
      <c r="B418" s="1">
        <v>43410</v>
      </c>
      <c r="C418" t="s">
        <v>537</v>
      </c>
      <c r="D418" t="s">
        <v>12</v>
      </c>
      <c r="E418" t="s">
        <v>538</v>
      </c>
      <c r="F418" t="s">
        <v>554</v>
      </c>
      <c r="G418" t="s">
        <v>239</v>
      </c>
      <c r="H418">
        <v>21.46</v>
      </c>
      <c r="I418">
        <v>0.05</v>
      </c>
      <c r="J418">
        <v>3</v>
      </c>
      <c r="K418">
        <v>-14.22</v>
      </c>
      <c r="L418">
        <v>6.26</v>
      </c>
      <c r="M418">
        <v>0.4</v>
      </c>
    </row>
    <row r="419" spans="1:13" x14ac:dyDescent="0.35">
      <c r="A419" t="s">
        <v>167</v>
      </c>
      <c r="B419" s="1">
        <v>43410</v>
      </c>
      <c r="C419" t="s">
        <v>533</v>
      </c>
      <c r="D419" t="s">
        <v>26</v>
      </c>
      <c r="E419" t="s">
        <v>545</v>
      </c>
      <c r="F419" t="s">
        <v>556</v>
      </c>
      <c r="G419" t="s">
        <v>168</v>
      </c>
      <c r="H419">
        <v>165.37</v>
      </c>
      <c r="I419">
        <v>0.06</v>
      </c>
      <c r="J419">
        <v>26</v>
      </c>
      <c r="K419">
        <v>-80.11</v>
      </c>
      <c r="L419">
        <v>4.07</v>
      </c>
      <c r="M419">
        <v>0.66</v>
      </c>
    </row>
    <row r="420" spans="1:13" x14ac:dyDescent="0.35">
      <c r="A420" t="s">
        <v>167</v>
      </c>
      <c r="B420" s="1">
        <v>43410</v>
      </c>
      <c r="C420" t="s">
        <v>533</v>
      </c>
      <c r="D420" t="s">
        <v>18</v>
      </c>
      <c r="E420" t="s">
        <v>540</v>
      </c>
      <c r="F420" t="s">
        <v>553</v>
      </c>
      <c r="G420" t="s">
        <v>168</v>
      </c>
      <c r="H420">
        <v>1785.74</v>
      </c>
      <c r="I420">
        <v>0.03</v>
      </c>
      <c r="J420">
        <v>38</v>
      </c>
      <c r="K420">
        <v>739.48</v>
      </c>
      <c r="L420">
        <v>7.23</v>
      </c>
      <c r="M420">
        <v>0.41</v>
      </c>
    </row>
    <row r="421" spans="1:13" x14ac:dyDescent="0.35">
      <c r="A421" t="s">
        <v>201</v>
      </c>
      <c r="B421" s="1">
        <v>43410</v>
      </c>
      <c r="C421" t="s">
        <v>537</v>
      </c>
      <c r="D421" t="s">
        <v>22</v>
      </c>
      <c r="E421" t="s">
        <v>538</v>
      </c>
      <c r="F421" t="s">
        <v>551</v>
      </c>
      <c r="G421" t="s">
        <v>200</v>
      </c>
      <c r="H421">
        <v>127.56</v>
      </c>
      <c r="I421">
        <v>0.03</v>
      </c>
      <c r="J421">
        <v>22</v>
      </c>
      <c r="K421">
        <v>-60.72</v>
      </c>
      <c r="L421">
        <v>5.63</v>
      </c>
      <c r="M421">
        <v>0.39</v>
      </c>
    </row>
    <row r="422" spans="1:13" x14ac:dyDescent="0.35">
      <c r="A422" t="s">
        <v>50</v>
      </c>
      <c r="B422" s="1">
        <v>43412</v>
      </c>
      <c r="C422" t="s">
        <v>535</v>
      </c>
      <c r="D422" t="s">
        <v>10</v>
      </c>
      <c r="E422" t="s">
        <v>538</v>
      </c>
      <c r="F422" t="s">
        <v>544</v>
      </c>
      <c r="G422" t="s">
        <v>49</v>
      </c>
      <c r="H422">
        <v>37.299999999999997</v>
      </c>
      <c r="I422">
        <v>0</v>
      </c>
      <c r="J422">
        <v>7</v>
      </c>
      <c r="K422">
        <v>5.03</v>
      </c>
      <c r="L422">
        <v>0.71</v>
      </c>
      <c r="M422">
        <v>0.52</v>
      </c>
    </row>
    <row r="423" spans="1:13" x14ac:dyDescent="0.35">
      <c r="A423" t="s">
        <v>256</v>
      </c>
      <c r="B423" s="1">
        <v>43412</v>
      </c>
      <c r="C423" t="s">
        <v>535</v>
      </c>
      <c r="D423" t="s">
        <v>14</v>
      </c>
      <c r="E423" t="s">
        <v>538</v>
      </c>
      <c r="F423" t="s">
        <v>543</v>
      </c>
      <c r="G423" t="s">
        <v>255</v>
      </c>
      <c r="H423">
        <v>16.600000000000001</v>
      </c>
      <c r="I423">
        <v>0.1</v>
      </c>
      <c r="J423">
        <v>4</v>
      </c>
      <c r="K423">
        <v>-2.06</v>
      </c>
      <c r="L423">
        <v>0.99</v>
      </c>
      <c r="M423">
        <v>0.39</v>
      </c>
    </row>
    <row r="424" spans="1:13" x14ac:dyDescent="0.35">
      <c r="A424" t="s">
        <v>256</v>
      </c>
      <c r="B424" s="1">
        <v>43412</v>
      </c>
      <c r="C424" t="s">
        <v>535</v>
      </c>
      <c r="D424" t="s">
        <v>14</v>
      </c>
      <c r="E424" t="s">
        <v>538</v>
      </c>
      <c r="F424" t="s">
        <v>543</v>
      </c>
      <c r="G424" t="s">
        <v>255</v>
      </c>
      <c r="H424">
        <v>25.1</v>
      </c>
      <c r="I424">
        <v>0.04</v>
      </c>
      <c r="J424">
        <v>5</v>
      </c>
      <c r="K424">
        <v>2.98</v>
      </c>
      <c r="L424">
        <v>0.49</v>
      </c>
      <c r="M424">
        <v>0.39</v>
      </c>
    </row>
    <row r="425" spans="1:13" x14ac:dyDescent="0.35">
      <c r="A425" t="s">
        <v>217</v>
      </c>
      <c r="B425" s="1">
        <v>43413</v>
      </c>
      <c r="C425" t="s">
        <v>534</v>
      </c>
      <c r="D425" t="s">
        <v>22</v>
      </c>
      <c r="E425" t="s">
        <v>538</v>
      </c>
      <c r="F425" t="s">
        <v>551</v>
      </c>
      <c r="G425" t="s">
        <v>216</v>
      </c>
      <c r="H425">
        <v>125.46</v>
      </c>
      <c r="I425">
        <v>7.0000000000000007E-2</v>
      </c>
      <c r="J425">
        <v>34</v>
      </c>
      <c r="K425">
        <v>-129.63</v>
      </c>
      <c r="L425">
        <v>5.47</v>
      </c>
      <c r="M425">
        <v>0.37</v>
      </c>
    </row>
    <row r="426" spans="1:13" x14ac:dyDescent="0.35">
      <c r="A426" t="s">
        <v>263</v>
      </c>
      <c r="B426" s="1">
        <v>43413</v>
      </c>
      <c r="C426" t="s">
        <v>534</v>
      </c>
      <c r="D426" t="s">
        <v>26</v>
      </c>
      <c r="E426" t="s">
        <v>545</v>
      </c>
      <c r="F426" t="s">
        <v>556</v>
      </c>
      <c r="G426" t="s">
        <v>264</v>
      </c>
      <c r="H426">
        <v>553.02</v>
      </c>
      <c r="I426">
        <v>0.1</v>
      </c>
      <c r="J426">
        <v>38</v>
      </c>
      <c r="K426">
        <v>-49.38</v>
      </c>
      <c r="L426">
        <v>6.5</v>
      </c>
      <c r="M426">
        <v>0.48</v>
      </c>
    </row>
    <row r="427" spans="1:13" x14ac:dyDescent="0.35">
      <c r="A427" t="s">
        <v>299</v>
      </c>
      <c r="B427" s="1">
        <v>43414</v>
      </c>
      <c r="C427" t="s">
        <v>535</v>
      </c>
      <c r="D427" t="s">
        <v>16</v>
      </c>
      <c r="E427" t="s">
        <v>540</v>
      </c>
      <c r="F427" t="s">
        <v>542</v>
      </c>
      <c r="G427" t="s">
        <v>301</v>
      </c>
      <c r="H427">
        <v>6693.28</v>
      </c>
      <c r="I427">
        <v>0.02</v>
      </c>
      <c r="J427">
        <v>23</v>
      </c>
      <c r="K427">
        <v>40.32</v>
      </c>
      <c r="L427">
        <v>69</v>
      </c>
      <c r="M427">
        <v>0.67</v>
      </c>
    </row>
    <row r="428" spans="1:13" x14ac:dyDescent="0.35">
      <c r="A428" t="s">
        <v>299</v>
      </c>
      <c r="B428" s="1">
        <v>43414</v>
      </c>
      <c r="C428" t="s">
        <v>535</v>
      </c>
      <c r="D428" t="s">
        <v>15</v>
      </c>
      <c r="E428" t="s">
        <v>538</v>
      </c>
      <c r="F428" t="s">
        <v>550</v>
      </c>
      <c r="G428" t="s">
        <v>301</v>
      </c>
      <c r="H428">
        <v>1482.81</v>
      </c>
      <c r="I428">
        <v>0.03</v>
      </c>
      <c r="J428">
        <v>24</v>
      </c>
      <c r="K428">
        <v>-678.63</v>
      </c>
      <c r="L428">
        <v>49</v>
      </c>
      <c r="M428">
        <v>0.59</v>
      </c>
    </row>
    <row r="429" spans="1:13" x14ac:dyDescent="0.35">
      <c r="A429" t="s">
        <v>299</v>
      </c>
      <c r="B429" s="1">
        <v>43414</v>
      </c>
      <c r="C429" t="s">
        <v>535</v>
      </c>
      <c r="D429" t="s">
        <v>11</v>
      </c>
      <c r="E429" t="s">
        <v>545</v>
      </c>
      <c r="F429" t="s">
        <v>552</v>
      </c>
      <c r="G429" t="s">
        <v>300</v>
      </c>
      <c r="H429">
        <v>275.91000000000003</v>
      </c>
      <c r="I429">
        <v>0.1</v>
      </c>
      <c r="J429">
        <v>44</v>
      </c>
      <c r="K429">
        <v>-162.37</v>
      </c>
      <c r="L429">
        <v>5.03</v>
      </c>
      <c r="M429">
        <v>0.6</v>
      </c>
    </row>
    <row r="430" spans="1:13" x14ac:dyDescent="0.35">
      <c r="A430" t="s">
        <v>38</v>
      </c>
      <c r="B430" s="1">
        <v>43415</v>
      </c>
      <c r="C430" t="s">
        <v>535</v>
      </c>
      <c r="D430" t="s">
        <v>26</v>
      </c>
      <c r="E430" t="s">
        <v>545</v>
      </c>
      <c r="F430" t="s">
        <v>556</v>
      </c>
      <c r="G430" t="s">
        <v>34</v>
      </c>
      <c r="H430">
        <v>378.08</v>
      </c>
      <c r="I430">
        <v>0</v>
      </c>
      <c r="J430">
        <v>17</v>
      </c>
      <c r="K430">
        <v>70.48</v>
      </c>
      <c r="L430">
        <v>1.99</v>
      </c>
      <c r="M430">
        <v>0.43</v>
      </c>
    </row>
    <row r="431" spans="1:13" x14ac:dyDescent="0.35">
      <c r="A431" t="s">
        <v>38</v>
      </c>
      <c r="B431" s="1">
        <v>43415</v>
      </c>
      <c r="C431" t="s">
        <v>535</v>
      </c>
      <c r="D431" t="s">
        <v>26</v>
      </c>
      <c r="E431" t="s">
        <v>545</v>
      </c>
      <c r="F431" t="s">
        <v>556</v>
      </c>
      <c r="G431" t="s">
        <v>34</v>
      </c>
      <c r="H431">
        <v>731.71</v>
      </c>
      <c r="I431">
        <v>0</v>
      </c>
      <c r="J431">
        <v>24</v>
      </c>
      <c r="K431">
        <v>175.82</v>
      </c>
      <c r="L431">
        <v>1.99</v>
      </c>
      <c r="M431">
        <v>0.5</v>
      </c>
    </row>
    <row r="432" spans="1:13" x14ac:dyDescent="0.35">
      <c r="A432" t="s">
        <v>526</v>
      </c>
      <c r="B432" s="1">
        <v>43417</v>
      </c>
      <c r="C432" t="s">
        <v>536</v>
      </c>
      <c r="D432" t="s">
        <v>17</v>
      </c>
      <c r="E432" t="s">
        <v>540</v>
      </c>
      <c r="F432" t="s">
        <v>541</v>
      </c>
      <c r="G432" t="s">
        <v>524</v>
      </c>
      <c r="H432">
        <v>1118.82</v>
      </c>
      <c r="I432">
        <v>0.04</v>
      </c>
      <c r="J432">
        <v>8</v>
      </c>
      <c r="K432">
        <v>-320.3</v>
      </c>
      <c r="L432">
        <v>36.090000000000003</v>
      </c>
      <c r="M432">
        <v>0.77</v>
      </c>
    </row>
    <row r="433" spans="1:13" x14ac:dyDescent="0.35">
      <c r="A433" t="s">
        <v>526</v>
      </c>
      <c r="B433" s="1">
        <v>43417</v>
      </c>
      <c r="C433" t="s">
        <v>536</v>
      </c>
      <c r="D433" t="s">
        <v>21</v>
      </c>
      <c r="E433" t="s">
        <v>538</v>
      </c>
      <c r="F433" t="s">
        <v>555</v>
      </c>
      <c r="G433" t="s">
        <v>524</v>
      </c>
      <c r="H433">
        <v>79.75</v>
      </c>
      <c r="I433">
        <v>0.1</v>
      </c>
      <c r="J433">
        <v>48</v>
      </c>
      <c r="K433">
        <v>-41.32</v>
      </c>
      <c r="L433">
        <v>1.56</v>
      </c>
      <c r="M433">
        <v>0.49</v>
      </c>
    </row>
    <row r="434" spans="1:13" x14ac:dyDescent="0.35">
      <c r="A434" t="s">
        <v>142</v>
      </c>
      <c r="B434" s="1">
        <v>43417</v>
      </c>
      <c r="C434" t="s">
        <v>534</v>
      </c>
      <c r="D434" t="s">
        <v>18</v>
      </c>
      <c r="E434" t="s">
        <v>540</v>
      </c>
      <c r="F434" t="s">
        <v>553</v>
      </c>
      <c r="G434" t="s">
        <v>143</v>
      </c>
      <c r="H434">
        <v>3367.24</v>
      </c>
      <c r="I434">
        <v>7.0000000000000007E-2</v>
      </c>
      <c r="J434">
        <v>44</v>
      </c>
      <c r="K434">
        <v>-1183.69</v>
      </c>
      <c r="L434">
        <v>48.2</v>
      </c>
      <c r="M434">
        <v>0.74</v>
      </c>
    </row>
    <row r="435" spans="1:13" x14ac:dyDescent="0.35">
      <c r="A435" t="s">
        <v>142</v>
      </c>
      <c r="B435" s="1">
        <v>43417</v>
      </c>
      <c r="C435" t="s">
        <v>534</v>
      </c>
      <c r="D435" t="s">
        <v>16</v>
      </c>
      <c r="E435" t="s">
        <v>540</v>
      </c>
      <c r="F435" t="s">
        <v>542</v>
      </c>
      <c r="G435" t="s">
        <v>143</v>
      </c>
      <c r="H435">
        <v>5723.24</v>
      </c>
      <c r="I435">
        <v>0</v>
      </c>
      <c r="J435">
        <v>37</v>
      </c>
      <c r="K435">
        <v>-194.97</v>
      </c>
      <c r="L435">
        <v>51.92</v>
      </c>
      <c r="M435">
        <v>0.69</v>
      </c>
    </row>
    <row r="436" spans="1:13" x14ac:dyDescent="0.35">
      <c r="A436" t="s">
        <v>68</v>
      </c>
      <c r="B436" s="1">
        <v>43423</v>
      </c>
      <c r="C436" t="s">
        <v>533</v>
      </c>
      <c r="D436" t="s">
        <v>13</v>
      </c>
      <c r="E436" t="s">
        <v>545</v>
      </c>
      <c r="F436" t="s">
        <v>549</v>
      </c>
      <c r="G436" t="s">
        <v>67</v>
      </c>
      <c r="H436">
        <v>15602.93</v>
      </c>
      <c r="I436">
        <v>0</v>
      </c>
      <c r="J436">
        <v>48</v>
      </c>
      <c r="K436">
        <v>4875.8900000000003</v>
      </c>
      <c r="L436">
        <v>26.53</v>
      </c>
      <c r="M436">
        <v>0.56000000000000005</v>
      </c>
    </row>
    <row r="437" spans="1:13" x14ac:dyDescent="0.35">
      <c r="A437" t="s">
        <v>145</v>
      </c>
      <c r="B437" s="1">
        <v>43425</v>
      </c>
      <c r="C437" t="s">
        <v>534</v>
      </c>
      <c r="D437" t="s">
        <v>22</v>
      </c>
      <c r="E437" t="s">
        <v>538</v>
      </c>
      <c r="F437" t="s">
        <v>551</v>
      </c>
      <c r="G437" t="s">
        <v>143</v>
      </c>
      <c r="H437">
        <v>85.77</v>
      </c>
      <c r="I437">
        <v>0.03</v>
      </c>
      <c r="J437">
        <v>27</v>
      </c>
      <c r="K437">
        <v>-102.02</v>
      </c>
      <c r="L437">
        <v>5.44</v>
      </c>
      <c r="M437">
        <v>0.36</v>
      </c>
    </row>
    <row r="438" spans="1:13" x14ac:dyDescent="0.35">
      <c r="A438" t="s">
        <v>145</v>
      </c>
      <c r="B438" s="1">
        <v>43425</v>
      </c>
      <c r="C438" t="s">
        <v>534</v>
      </c>
      <c r="D438" t="s">
        <v>22</v>
      </c>
      <c r="E438" t="s">
        <v>538</v>
      </c>
      <c r="F438" t="s">
        <v>551</v>
      </c>
      <c r="G438" t="s">
        <v>143</v>
      </c>
      <c r="H438">
        <v>149.31</v>
      </c>
      <c r="I438">
        <v>0</v>
      </c>
      <c r="J438">
        <v>13</v>
      </c>
      <c r="K438">
        <v>7.77</v>
      </c>
      <c r="L438">
        <v>5.14</v>
      </c>
      <c r="M438">
        <v>0.36</v>
      </c>
    </row>
    <row r="439" spans="1:13" x14ac:dyDescent="0.35">
      <c r="A439" t="s">
        <v>270</v>
      </c>
      <c r="B439" s="1">
        <v>43425</v>
      </c>
      <c r="C439" t="s">
        <v>536</v>
      </c>
      <c r="D439" t="s">
        <v>18</v>
      </c>
      <c r="E439" t="s">
        <v>540</v>
      </c>
      <c r="F439" t="s">
        <v>553</v>
      </c>
      <c r="G439" t="s">
        <v>271</v>
      </c>
      <c r="H439">
        <v>933.21</v>
      </c>
      <c r="I439">
        <v>0.05</v>
      </c>
      <c r="J439">
        <v>40</v>
      </c>
      <c r="K439">
        <v>207.18</v>
      </c>
      <c r="L439">
        <v>7.58</v>
      </c>
      <c r="M439">
        <v>0.51</v>
      </c>
    </row>
    <row r="440" spans="1:13" x14ac:dyDescent="0.35">
      <c r="A440" t="s">
        <v>347</v>
      </c>
      <c r="B440" s="1">
        <v>43427</v>
      </c>
      <c r="C440" t="s">
        <v>534</v>
      </c>
      <c r="D440" t="s">
        <v>11</v>
      </c>
      <c r="E440" t="s">
        <v>545</v>
      </c>
      <c r="F440" t="s">
        <v>552</v>
      </c>
      <c r="G440" t="s">
        <v>348</v>
      </c>
      <c r="H440">
        <v>3701.5205000000001</v>
      </c>
      <c r="I440">
        <v>0.05</v>
      </c>
      <c r="J440">
        <v>38</v>
      </c>
      <c r="K440">
        <v>894.06</v>
      </c>
      <c r="L440">
        <v>5.92</v>
      </c>
      <c r="M440">
        <v>0.57999999999999996</v>
      </c>
    </row>
    <row r="441" spans="1:13" x14ac:dyDescent="0.35">
      <c r="A441" t="s">
        <v>47</v>
      </c>
      <c r="B441" s="1">
        <v>43435</v>
      </c>
      <c r="C441" t="s">
        <v>537</v>
      </c>
      <c r="D441" t="s">
        <v>20</v>
      </c>
      <c r="E441" t="s">
        <v>540</v>
      </c>
      <c r="F441" t="s">
        <v>547</v>
      </c>
      <c r="G441" t="s">
        <v>48</v>
      </c>
      <c r="H441">
        <v>6435.87</v>
      </c>
      <c r="I441">
        <v>0.04</v>
      </c>
      <c r="J441">
        <v>21</v>
      </c>
      <c r="K441">
        <v>935.06</v>
      </c>
      <c r="L441">
        <v>64.73</v>
      </c>
      <c r="M441">
        <v>0.56000000000000005</v>
      </c>
    </row>
    <row r="442" spans="1:13" x14ac:dyDescent="0.35">
      <c r="A442" t="s">
        <v>47</v>
      </c>
      <c r="B442" s="1">
        <v>43435</v>
      </c>
      <c r="C442" t="s">
        <v>537</v>
      </c>
      <c r="D442" t="s">
        <v>26</v>
      </c>
      <c r="E442" t="s">
        <v>545</v>
      </c>
      <c r="F442" t="s">
        <v>556</v>
      </c>
      <c r="G442" t="s">
        <v>48</v>
      </c>
      <c r="H442">
        <v>312.02999999999997</v>
      </c>
      <c r="I442">
        <v>0.08</v>
      </c>
      <c r="J442">
        <v>11</v>
      </c>
      <c r="K442">
        <v>-66.66</v>
      </c>
      <c r="L442">
        <v>5.5</v>
      </c>
      <c r="M442">
        <v>0.51</v>
      </c>
    </row>
    <row r="443" spans="1:13" x14ac:dyDescent="0.35">
      <c r="A443" t="s">
        <v>276</v>
      </c>
      <c r="B443" s="1">
        <v>43435</v>
      </c>
      <c r="C443" t="s">
        <v>534</v>
      </c>
      <c r="D443" t="s">
        <v>15</v>
      </c>
      <c r="E443" t="s">
        <v>538</v>
      </c>
      <c r="F443" t="s">
        <v>550</v>
      </c>
      <c r="G443" t="s">
        <v>272</v>
      </c>
      <c r="H443">
        <v>1603.27</v>
      </c>
      <c r="I443">
        <v>0.01</v>
      </c>
      <c r="J443">
        <v>27</v>
      </c>
      <c r="K443">
        <v>452.49</v>
      </c>
      <c r="L443">
        <v>3.99</v>
      </c>
      <c r="M443">
        <v>0.56999999999999995</v>
      </c>
    </row>
    <row r="444" spans="1:13" x14ac:dyDescent="0.35">
      <c r="A444" t="s">
        <v>47</v>
      </c>
      <c r="B444" s="1">
        <v>43435</v>
      </c>
      <c r="C444" t="s">
        <v>537</v>
      </c>
      <c r="D444" t="s">
        <v>12</v>
      </c>
      <c r="E444" t="s">
        <v>538</v>
      </c>
      <c r="F444" t="s">
        <v>554</v>
      </c>
      <c r="G444" t="s">
        <v>46</v>
      </c>
      <c r="H444">
        <v>145.93</v>
      </c>
      <c r="I444">
        <v>0</v>
      </c>
      <c r="J444">
        <v>27</v>
      </c>
      <c r="K444">
        <v>-113.32</v>
      </c>
      <c r="L444">
        <v>7.44</v>
      </c>
      <c r="M444">
        <v>0.36</v>
      </c>
    </row>
    <row r="445" spans="1:13" x14ac:dyDescent="0.35">
      <c r="A445" t="s">
        <v>242</v>
      </c>
      <c r="B445" s="1">
        <v>43436</v>
      </c>
      <c r="C445" t="s">
        <v>534</v>
      </c>
      <c r="D445" t="s">
        <v>13</v>
      </c>
      <c r="E445" t="s">
        <v>545</v>
      </c>
      <c r="F445" t="s">
        <v>549</v>
      </c>
      <c r="G445" t="s">
        <v>243</v>
      </c>
      <c r="H445">
        <v>3220.58</v>
      </c>
      <c r="I445">
        <v>0.04</v>
      </c>
      <c r="J445">
        <v>22</v>
      </c>
      <c r="K445">
        <v>1046.69</v>
      </c>
      <c r="L445">
        <v>13.99</v>
      </c>
      <c r="M445">
        <v>0.38</v>
      </c>
    </row>
    <row r="446" spans="1:13" x14ac:dyDescent="0.35">
      <c r="A446" t="s">
        <v>184</v>
      </c>
      <c r="B446" s="1">
        <v>43436</v>
      </c>
      <c r="C446" t="s">
        <v>533</v>
      </c>
      <c r="D446" t="s">
        <v>14</v>
      </c>
      <c r="E446" t="s">
        <v>538</v>
      </c>
      <c r="F446" t="s">
        <v>543</v>
      </c>
      <c r="G446" t="s">
        <v>185</v>
      </c>
      <c r="H446">
        <v>103.62</v>
      </c>
      <c r="I446">
        <v>0.1</v>
      </c>
      <c r="J446">
        <v>15</v>
      </c>
      <c r="K446">
        <v>39.979999999999997</v>
      </c>
      <c r="L446">
        <v>0.49</v>
      </c>
      <c r="M446">
        <v>0.38</v>
      </c>
    </row>
    <row r="447" spans="1:13" x14ac:dyDescent="0.35">
      <c r="A447" t="s">
        <v>125</v>
      </c>
      <c r="B447" s="1">
        <v>43437</v>
      </c>
      <c r="C447" t="s">
        <v>534</v>
      </c>
      <c r="D447" t="s">
        <v>14</v>
      </c>
      <c r="E447" t="s">
        <v>538</v>
      </c>
      <c r="F447" t="s">
        <v>543</v>
      </c>
      <c r="G447" t="s">
        <v>124</v>
      </c>
      <c r="H447">
        <v>59.03</v>
      </c>
      <c r="I447">
        <v>0.1</v>
      </c>
      <c r="J447">
        <v>13</v>
      </c>
      <c r="K447">
        <v>26.92</v>
      </c>
      <c r="L447">
        <v>0.5</v>
      </c>
      <c r="M447">
        <v>0.38</v>
      </c>
    </row>
    <row r="448" spans="1:13" x14ac:dyDescent="0.35">
      <c r="A448" t="s">
        <v>125</v>
      </c>
      <c r="B448" s="1">
        <v>43437</v>
      </c>
      <c r="C448" t="s">
        <v>534</v>
      </c>
      <c r="D448" t="s">
        <v>21</v>
      </c>
      <c r="E448" t="s">
        <v>538</v>
      </c>
      <c r="F448" t="s">
        <v>555</v>
      </c>
      <c r="G448" t="s">
        <v>124</v>
      </c>
      <c r="H448">
        <v>97.48</v>
      </c>
      <c r="I448">
        <v>0.05</v>
      </c>
      <c r="J448">
        <v>21</v>
      </c>
      <c r="K448">
        <v>-5.77</v>
      </c>
      <c r="L448">
        <v>0.7</v>
      </c>
      <c r="M448">
        <v>0.8</v>
      </c>
    </row>
    <row r="449" spans="1:13" x14ac:dyDescent="0.35">
      <c r="A449" t="s">
        <v>133</v>
      </c>
      <c r="B449" s="1">
        <v>43437</v>
      </c>
      <c r="C449" t="s">
        <v>535</v>
      </c>
      <c r="D449" t="s">
        <v>11</v>
      </c>
      <c r="E449" t="s">
        <v>545</v>
      </c>
      <c r="F449" t="s">
        <v>552</v>
      </c>
      <c r="G449" t="s">
        <v>131</v>
      </c>
      <c r="H449">
        <v>2853.8834999999999</v>
      </c>
      <c r="I449">
        <v>0.06</v>
      </c>
      <c r="J449">
        <v>27</v>
      </c>
      <c r="K449">
        <v>492.24</v>
      </c>
      <c r="L449">
        <v>7.69</v>
      </c>
      <c r="M449">
        <v>0.57999999999999996</v>
      </c>
    </row>
    <row r="450" spans="1:13" x14ac:dyDescent="0.35">
      <c r="A450" t="s">
        <v>33</v>
      </c>
      <c r="B450" s="1">
        <v>43437</v>
      </c>
      <c r="C450" t="s">
        <v>537</v>
      </c>
      <c r="D450" t="s">
        <v>13</v>
      </c>
      <c r="E450" t="s">
        <v>545</v>
      </c>
      <c r="F450" t="s">
        <v>549</v>
      </c>
      <c r="G450" t="s">
        <v>30</v>
      </c>
      <c r="H450">
        <v>2671.21</v>
      </c>
      <c r="I450">
        <v>0.06</v>
      </c>
      <c r="J450">
        <v>14</v>
      </c>
      <c r="K450">
        <v>636.17999999999995</v>
      </c>
      <c r="L450">
        <v>15.59</v>
      </c>
      <c r="M450">
        <v>0.36</v>
      </c>
    </row>
    <row r="451" spans="1:13" x14ac:dyDescent="0.35">
      <c r="A451" t="s">
        <v>305</v>
      </c>
      <c r="B451" s="1">
        <v>43437</v>
      </c>
      <c r="C451" t="s">
        <v>533</v>
      </c>
      <c r="D451" t="s">
        <v>26</v>
      </c>
      <c r="E451" t="s">
        <v>545</v>
      </c>
      <c r="F451" t="s">
        <v>556</v>
      </c>
      <c r="G451" t="s">
        <v>302</v>
      </c>
      <c r="H451">
        <v>583.55999999999995</v>
      </c>
      <c r="I451">
        <v>0.02</v>
      </c>
      <c r="J451">
        <v>26</v>
      </c>
      <c r="K451">
        <v>-94.59</v>
      </c>
      <c r="L451">
        <v>6.5</v>
      </c>
      <c r="M451">
        <v>0.78</v>
      </c>
    </row>
    <row r="452" spans="1:13" x14ac:dyDescent="0.35">
      <c r="A452" t="s">
        <v>305</v>
      </c>
      <c r="B452" s="1">
        <v>43437</v>
      </c>
      <c r="C452" t="s">
        <v>533</v>
      </c>
      <c r="D452" t="s">
        <v>12</v>
      </c>
      <c r="E452" t="s">
        <v>538</v>
      </c>
      <c r="F452" t="s">
        <v>554</v>
      </c>
      <c r="G452" t="s">
        <v>302</v>
      </c>
      <c r="H452">
        <v>281.47000000000003</v>
      </c>
      <c r="I452">
        <v>0.1</v>
      </c>
      <c r="J452">
        <v>47</v>
      </c>
      <c r="K452">
        <v>-190.57</v>
      </c>
      <c r="L452">
        <v>7.37</v>
      </c>
      <c r="M452">
        <v>0.37</v>
      </c>
    </row>
    <row r="453" spans="1:13" x14ac:dyDescent="0.35">
      <c r="A453" t="s">
        <v>177</v>
      </c>
      <c r="B453" s="1">
        <v>43437</v>
      </c>
      <c r="C453" t="s">
        <v>535</v>
      </c>
      <c r="D453" t="s">
        <v>25</v>
      </c>
      <c r="E453" t="s">
        <v>538</v>
      </c>
      <c r="F453" t="s">
        <v>539</v>
      </c>
      <c r="G453" t="s">
        <v>176</v>
      </c>
      <c r="H453">
        <v>236.45</v>
      </c>
      <c r="I453">
        <v>0.06</v>
      </c>
      <c r="J453">
        <v>32</v>
      </c>
      <c r="K453">
        <v>-259.02</v>
      </c>
      <c r="L453">
        <v>9.69</v>
      </c>
      <c r="M453">
        <v>0.83</v>
      </c>
    </row>
    <row r="454" spans="1:13" x14ac:dyDescent="0.35">
      <c r="A454" t="s">
        <v>163</v>
      </c>
      <c r="B454" s="1">
        <v>43438</v>
      </c>
      <c r="C454" t="s">
        <v>537</v>
      </c>
      <c r="D454" t="s">
        <v>18</v>
      </c>
      <c r="E454" t="s">
        <v>540</v>
      </c>
      <c r="F454" t="s">
        <v>553</v>
      </c>
      <c r="G454" t="s">
        <v>162</v>
      </c>
      <c r="H454">
        <v>131.09</v>
      </c>
      <c r="I454">
        <v>0.01</v>
      </c>
      <c r="J454">
        <v>10</v>
      </c>
      <c r="K454">
        <v>10.94</v>
      </c>
      <c r="L454">
        <v>2.85</v>
      </c>
      <c r="M454">
        <v>0.55000000000000004</v>
      </c>
    </row>
    <row r="455" spans="1:13" x14ac:dyDescent="0.35">
      <c r="A455" t="s">
        <v>163</v>
      </c>
      <c r="B455" s="1">
        <v>43438</v>
      </c>
      <c r="C455" t="s">
        <v>537</v>
      </c>
      <c r="D455" t="s">
        <v>12</v>
      </c>
      <c r="E455" t="s">
        <v>538</v>
      </c>
      <c r="F455" t="s">
        <v>554</v>
      </c>
      <c r="G455" t="s">
        <v>162</v>
      </c>
      <c r="H455">
        <v>1817.9</v>
      </c>
      <c r="I455">
        <v>0.06</v>
      </c>
      <c r="J455">
        <v>33</v>
      </c>
      <c r="K455">
        <v>700.31</v>
      </c>
      <c r="L455">
        <v>10.75</v>
      </c>
      <c r="M455">
        <v>0.36</v>
      </c>
    </row>
    <row r="456" spans="1:13" x14ac:dyDescent="0.35">
      <c r="A456" t="s">
        <v>198</v>
      </c>
      <c r="B456" s="1">
        <v>43438</v>
      </c>
      <c r="C456" t="s">
        <v>536</v>
      </c>
      <c r="D456" t="s">
        <v>20</v>
      </c>
      <c r="E456" t="s">
        <v>540</v>
      </c>
      <c r="F456" t="s">
        <v>547</v>
      </c>
      <c r="G456" t="s">
        <v>197</v>
      </c>
      <c r="H456">
        <v>473.88</v>
      </c>
      <c r="I456">
        <v>0.01</v>
      </c>
      <c r="J456">
        <v>4</v>
      </c>
      <c r="K456">
        <v>-183.26</v>
      </c>
      <c r="L456">
        <v>30</v>
      </c>
      <c r="M456">
        <v>0.71</v>
      </c>
    </row>
    <row r="457" spans="1:13" x14ac:dyDescent="0.35">
      <c r="A457" t="s">
        <v>198</v>
      </c>
      <c r="B457" s="1">
        <v>43438</v>
      </c>
      <c r="C457" t="s">
        <v>536</v>
      </c>
      <c r="D457" t="s">
        <v>11</v>
      </c>
      <c r="E457" t="s">
        <v>545</v>
      </c>
      <c r="F457" t="s">
        <v>552</v>
      </c>
      <c r="G457" t="s">
        <v>197</v>
      </c>
      <c r="H457">
        <v>849.03099999999995</v>
      </c>
      <c r="I457">
        <v>7.0000000000000007E-2</v>
      </c>
      <c r="J457">
        <v>50</v>
      </c>
      <c r="K457">
        <v>-133.31</v>
      </c>
      <c r="L457">
        <v>3.3</v>
      </c>
      <c r="M457">
        <v>0.81</v>
      </c>
    </row>
    <row r="458" spans="1:13" x14ac:dyDescent="0.35">
      <c r="A458" t="s">
        <v>213</v>
      </c>
      <c r="B458" s="1">
        <v>43438</v>
      </c>
      <c r="C458" t="s">
        <v>534</v>
      </c>
      <c r="D458" t="s">
        <v>22</v>
      </c>
      <c r="E458" t="s">
        <v>538</v>
      </c>
      <c r="F458" t="s">
        <v>551</v>
      </c>
      <c r="G458" t="s">
        <v>211</v>
      </c>
      <c r="H458">
        <v>167.46</v>
      </c>
      <c r="I458">
        <v>0.09</v>
      </c>
      <c r="J458">
        <v>40</v>
      </c>
      <c r="K458">
        <v>-134.30000000000001</v>
      </c>
      <c r="L458">
        <v>5.41</v>
      </c>
      <c r="M458">
        <v>0.35</v>
      </c>
    </row>
    <row r="459" spans="1:13" x14ac:dyDescent="0.35">
      <c r="A459" t="s">
        <v>485</v>
      </c>
      <c r="B459" s="1">
        <v>43439</v>
      </c>
      <c r="C459" t="s">
        <v>534</v>
      </c>
      <c r="D459" t="s">
        <v>11</v>
      </c>
      <c r="E459" t="s">
        <v>545</v>
      </c>
      <c r="F459" t="s">
        <v>552</v>
      </c>
      <c r="G459" t="s">
        <v>484</v>
      </c>
      <c r="H459">
        <v>2255.1945000000001</v>
      </c>
      <c r="I459">
        <v>0.03</v>
      </c>
      <c r="J459">
        <v>46</v>
      </c>
      <c r="K459">
        <v>74.510000000000005</v>
      </c>
      <c r="L459">
        <v>5</v>
      </c>
      <c r="M459">
        <v>0.8</v>
      </c>
    </row>
    <row r="460" spans="1:13" x14ac:dyDescent="0.35">
      <c r="A460" t="s">
        <v>485</v>
      </c>
      <c r="B460" s="1">
        <v>43439</v>
      </c>
      <c r="C460" t="s">
        <v>534</v>
      </c>
      <c r="D460" t="s">
        <v>18</v>
      </c>
      <c r="E460" t="s">
        <v>540</v>
      </c>
      <c r="F460" t="s">
        <v>553</v>
      </c>
      <c r="G460" t="s">
        <v>484</v>
      </c>
      <c r="H460">
        <v>187.13</v>
      </c>
      <c r="I460">
        <v>0.09</v>
      </c>
      <c r="J460">
        <v>9</v>
      </c>
      <c r="K460">
        <v>12.4</v>
      </c>
      <c r="L460">
        <v>14.39</v>
      </c>
      <c r="M460">
        <v>0.47</v>
      </c>
    </row>
    <row r="461" spans="1:13" x14ac:dyDescent="0.35">
      <c r="A461" t="s">
        <v>330</v>
      </c>
      <c r="B461" s="1">
        <v>43439</v>
      </c>
      <c r="C461" t="s">
        <v>533</v>
      </c>
      <c r="D461" t="s">
        <v>12</v>
      </c>
      <c r="E461" t="s">
        <v>538</v>
      </c>
      <c r="F461" t="s">
        <v>554</v>
      </c>
      <c r="G461" t="s">
        <v>329</v>
      </c>
      <c r="H461">
        <v>26.23</v>
      </c>
      <c r="I461">
        <v>0</v>
      </c>
      <c r="J461">
        <v>3</v>
      </c>
      <c r="K461">
        <v>-13.72</v>
      </c>
      <c r="L461">
        <v>6.6</v>
      </c>
      <c r="M461">
        <v>0.37</v>
      </c>
    </row>
    <row r="462" spans="1:13" x14ac:dyDescent="0.35">
      <c r="A462" t="s">
        <v>235</v>
      </c>
      <c r="B462" s="1">
        <v>43439</v>
      </c>
      <c r="C462" t="s">
        <v>533</v>
      </c>
      <c r="D462" t="s">
        <v>22</v>
      </c>
      <c r="E462" t="s">
        <v>538</v>
      </c>
      <c r="F462" t="s">
        <v>551</v>
      </c>
      <c r="G462" t="s">
        <v>234</v>
      </c>
      <c r="H462">
        <v>557.23</v>
      </c>
      <c r="I462">
        <v>0.09</v>
      </c>
      <c r="J462">
        <v>24</v>
      </c>
      <c r="K462">
        <v>-42.99</v>
      </c>
      <c r="L462">
        <v>12.98</v>
      </c>
      <c r="M462">
        <v>0.39</v>
      </c>
    </row>
    <row r="463" spans="1:13" x14ac:dyDescent="0.35">
      <c r="A463" t="s">
        <v>283</v>
      </c>
      <c r="B463" s="1">
        <v>43440</v>
      </c>
      <c r="C463" t="s">
        <v>533</v>
      </c>
      <c r="D463" t="s">
        <v>18</v>
      </c>
      <c r="E463" t="s">
        <v>540</v>
      </c>
      <c r="F463" t="s">
        <v>553</v>
      </c>
      <c r="G463" t="s">
        <v>282</v>
      </c>
      <c r="H463">
        <v>2612.89</v>
      </c>
      <c r="I463">
        <v>0.04</v>
      </c>
      <c r="J463">
        <v>25</v>
      </c>
      <c r="K463">
        <v>490.99</v>
      </c>
      <c r="L463">
        <v>10.119999999999999</v>
      </c>
      <c r="M463">
        <v>0.79</v>
      </c>
    </row>
    <row r="464" spans="1:13" x14ac:dyDescent="0.35">
      <c r="A464" t="s">
        <v>283</v>
      </c>
      <c r="B464" s="1">
        <v>43440</v>
      </c>
      <c r="C464" t="s">
        <v>533</v>
      </c>
      <c r="D464" t="s">
        <v>16</v>
      </c>
      <c r="E464" t="s">
        <v>540</v>
      </c>
      <c r="F464" t="s">
        <v>542</v>
      </c>
      <c r="G464" t="s">
        <v>282</v>
      </c>
      <c r="H464">
        <v>1146.992</v>
      </c>
      <c r="I464">
        <v>7.0000000000000007E-2</v>
      </c>
      <c r="J464">
        <v>47</v>
      </c>
      <c r="K464">
        <v>-1643.74</v>
      </c>
      <c r="L464">
        <v>45.51</v>
      </c>
      <c r="M464">
        <v>0.65</v>
      </c>
    </row>
    <row r="465" spans="1:13" x14ac:dyDescent="0.35">
      <c r="A465" t="s">
        <v>501</v>
      </c>
      <c r="B465" s="1">
        <v>43440</v>
      </c>
      <c r="C465" t="s">
        <v>533</v>
      </c>
      <c r="D465" t="s">
        <v>19</v>
      </c>
      <c r="E465" t="s">
        <v>538</v>
      </c>
      <c r="F465" t="s">
        <v>557</v>
      </c>
      <c r="G465" t="s">
        <v>502</v>
      </c>
      <c r="H465">
        <v>64.44</v>
      </c>
      <c r="I465">
        <v>0</v>
      </c>
      <c r="J465">
        <v>21</v>
      </c>
      <c r="K465">
        <v>-89.02</v>
      </c>
      <c r="L465">
        <v>6.35</v>
      </c>
      <c r="M465">
        <v>0.36</v>
      </c>
    </row>
    <row r="466" spans="1:13" x14ac:dyDescent="0.35">
      <c r="A466" t="s">
        <v>283</v>
      </c>
      <c r="B466" s="1">
        <v>43440</v>
      </c>
      <c r="C466" t="s">
        <v>533</v>
      </c>
      <c r="D466" t="s">
        <v>17</v>
      </c>
      <c r="E466" t="s">
        <v>540</v>
      </c>
      <c r="F466" t="s">
        <v>541</v>
      </c>
      <c r="G466" t="s">
        <v>285</v>
      </c>
      <c r="H466">
        <v>4581.41</v>
      </c>
      <c r="I466">
        <v>0.04</v>
      </c>
      <c r="J466">
        <v>36</v>
      </c>
      <c r="K466">
        <v>-904.73</v>
      </c>
      <c r="L466">
        <v>54.74</v>
      </c>
      <c r="M466">
        <v>0.69</v>
      </c>
    </row>
    <row r="467" spans="1:13" x14ac:dyDescent="0.35">
      <c r="A467" t="s">
        <v>486</v>
      </c>
      <c r="B467" s="1">
        <v>43441</v>
      </c>
      <c r="C467" t="s">
        <v>536</v>
      </c>
      <c r="D467" t="s">
        <v>12</v>
      </c>
      <c r="E467" t="s">
        <v>538</v>
      </c>
      <c r="F467" t="s">
        <v>554</v>
      </c>
      <c r="G467" t="s">
        <v>484</v>
      </c>
      <c r="H467">
        <v>128.5</v>
      </c>
      <c r="I467">
        <v>0.02</v>
      </c>
      <c r="J467">
        <v>17</v>
      </c>
      <c r="K467">
        <v>-44.69</v>
      </c>
      <c r="L467">
        <v>6.93</v>
      </c>
      <c r="M467">
        <v>0.37</v>
      </c>
    </row>
    <row r="468" spans="1:13" x14ac:dyDescent="0.35">
      <c r="A468" t="s">
        <v>207</v>
      </c>
      <c r="B468" s="1">
        <v>43441</v>
      </c>
      <c r="C468" t="s">
        <v>533</v>
      </c>
      <c r="D468" t="s">
        <v>22</v>
      </c>
      <c r="E468" t="s">
        <v>538</v>
      </c>
      <c r="F468" t="s">
        <v>551</v>
      </c>
      <c r="G468" t="s">
        <v>205</v>
      </c>
      <c r="H468">
        <v>311.64999999999998</v>
      </c>
      <c r="I468">
        <v>0.03</v>
      </c>
      <c r="J468">
        <v>45</v>
      </c>
      <c r="K468">
        <v>-71.25</v>
      </c>
      <c r="L468">
        <v>5.48</v>
      </c>
      <c r="M468">
        <v>0.37</v>
      </c>
    </row>
    <row r="469" spans="1:13" x14ac:dyDescent="0.35">
      <c r="A469" t="s">
        <v>207</v>
      </c>
      <c r="B469" s="1">
        <v>43441</v>
      </c>
      <c r="C469" t="s">
        <v>533</v>
      </c>
      <c r="D469" t="s">
        <v>21</v>
      </c>
      <c r="E469" t="s">
        <v>538</v>
      </c>
      <c r="F469" t="s">
        <v>555</v>
      </c>
      <c r="G469" t="s">
        <v>205</v>
      </c>
      <c r="H469">
        <v>101.19</v>
      </c>
      <c r="I469">
        <v>0.06</v>
      </c>
      <c r="J469">
        <v>28</v>
      </c>
      <c r="K469">
        <v>32.47</v>
      </c>
      <c r="L469">
        <v>0.71</v>
      </c>
      <c r="M469">
        <v>0.39</v>
      </c>
    </row>
    <row r="470" spans="1:13" x14ac:dyDescent="0.35">
      <c r="A470" t="s">
        <v>322</v>
      </c>
      <c r="B470" s="1">
        <v>43442</v>
      </c>
      <c r="C470" t="s">
        <v>536</v>
      </c>
      <c r="D470" t="s">
        <v>11</v>
      </c>
      <c r="E470" t="s">
        <v>545</v>
      </c>
      <c r="F470" t="s">
        <v>552</v>
      </c>
      <c r="G470" t="s">
        <v>323</v>
      </c>
      <c r="H470">
        <v>52.096499999999999</v>
      </c>
      <c r="I470">
        <v>0</v>
      </c>
      <c r="J470">
        <v>1</v>
      </c>
      <c r="K470">
        <v>-232.8</v>
      </c>
      <c r="L470">
        <v>2.5</v>
      </c>
      <c r="M470">
        <v>0.83</v>
      </c>
    </row>
    <row r="471" spans="1:13" x14ac:dyDescent="0.35">
      <c r="A471" t="s">
        <v>354</v>
      </c>
      <c r="B471" s="1">
        <v>43443</v>
      </c>
      <c r="C471" t="s">
        <v>536</v>
      </c>
      <c r="D471" t="s">
        <v>14</v>
      </c>
      <c r="E471" t="s">
        <v>538</v>
      </c>
      <c r="F471" t="s">
        <v>543</v>
      </c>
      <c r="G471" t="s">
        <v>353</v>
      </c>
      <c r="H471">
        <v>102.56</v>
      </c>
      <c r="I471">
        <v>0.06</v>
      </c>
      <c r="J471">
        <v>40</v>
      </c>
      <c r="K471">
        <v>36.619999999999997</v>
      </c>
      <c r="L471">
        <v>0.5</v>
      </c>
      <c r="M471">
        <v>0.39</v>
      </c>
    </row>
    <row r="472" spans="1:13" x14ac:dyDescent="0.35">
      <c r="A472" t="s">
        <v>354</v>
      </c>
      <c r="B472" s="1">
        <v>43443</v>
      </c>
      <c r="C472" t="s">
        <v>536</v>
      </c>
      <c r="D472" t="s">
        <v>21</v>
      </c>
      <c r="E472" t="s">
        <v>538</v>
      </c>
      <c r="F472" t="s">
        <v>555</v>
      </c>
      <c r="G472" t="s">
        <v>353</v>
      </c>
      <c r="H472">
        <v>15.87</v>
      </c>
      <c r="I472">
        <v>0.01</v>
      </c>
      <c r="J472">
        <v>3</v>
      </c>
      <c r="K472">
        <v>2.5299999999999998</v>
      </c>
      <c r="L472">
        <v>0.76</v>
      </c>
      <c r="M472">
        <v>0.39</v>
      </c>
    </row>
    <row r="473" spans="1:13" x14ac:dyDescent="0.35">
      <c r="A473" t="s">
        <v>237</v>
      </c>
      <c r="B473" s="1">
        <v>43443</v>
      </c>
      <c r="C473" t="s">
        <v>537</v>
      </c>
      <c r="D473" t="s">
        <v>25</v>
      </c>
      <c r="E473" t="s">
        <v>538</v>
      </c>
      <c r="F473" t="s">
        <v>539</v>
      </c>
      <c r="G473" t="s">
        <v>236</v>
      </c>
      <c r="H473">
        <v>345.57</v>
      </c>
      <c r="I473">
        <v>0.06</v>
      </c>
      <c r="J473">
        <v>4</v>
      </c>
      <c r="K473">
        <v>-218.77</v>
      </c>
      <c r="L473">
        <v>35</v>
      </c>
      <c r="M473">
        <v>0.81</v>
      </c>
    </row>
    <row r="474" spans="1:13" x14ac:dyDescent="0.35">
      <c r="A474" t="s">
        <v>45</v>
      </c>
      <c r="B474" s="1">
        <v>43443</v>
      </c>
      <c r="C474" t="s">
        <v>534</v>
      </c>
      <c r="D474" t="s">
        <v>22</v>
      </c>
      <c r="E474" t="s">
        <v>538</v>
      </c>
      <c r="F474" t="s">
        <v>551</v>
      </c>
      <c r="G474" t="s">
        <v>44</v>
      </c>
      <c r="H474">
        <v>60.92</v>
      </c>
      <c r="I474">
        <v>7.0000000000000007E-2</v>
      </c>
      <c r="J474">
        <v>33</v>
      </c>
      <c r="K474">
        <v>-17.2</v>
      </c>
      <c r="L474">
        <v>1.49</v>
      </c>
      <c r="M474">
        <v>0.37</v>
      </c>
    </row>
    <row r="475" spans="1:13" x14ac:dyDescent="0.35">
      <c r="A475" t="s">
        <v>45</v>
      </c>
      <c r="B475" s="1">
        <v>43443</v>
      </c>
      <c r="C475" t="s">
        <v>534</v>
      </c>
      <c r="D475" t="s">
        <v>18</v>
      </c>
      <c r="E475" t="s">
        <v>540</v>
      </c>
      <c r="F475" t="s">
        <v>553</v>
      </c>
      <c r="G475" t="s">
        <v>44</v>
      </c>
      <c r="H475">
        <v>387.17</v>
      </c>
      <c r="I475">
        <v>0.01</v>
      </c>
      <c r="J475">
        <v>8</v>
      </c>
      <c r="K475">
        <v>190.6</v>
      </c>
      <c r="L475">
        <v>4.8</v>
      </c>
      <c r="M475">
        <v>0.68</v>
      </c>
    </row>
    <row r="476" spans="1:13" x14ac:dyDescent="0.35">
      <c r="A476" t="s">
        <v>96</v>
      </c>
      <c r="B476" s="1">
        <v>43444</v>
      </c>
      <c r="C476" t="s">
        <v>534</v>
      </c>
      <c r="D476" t="s">
        <v>15</v>
      </c>
      <c r="E476" t="s">
        <v>538</v>
      </c>
      <c r="F476" t="s">
        <v>550</v>
      </c>
      <c r="G476" t="s">
        <v>97</v>
      </c>
      <c r="H476">
        <v>1758.41</v>
      </c>
      <c r="I476">
        <v>0.06</v>
      </c>
      <c r="J476">
        <v>18</v>
      </c>
      <c r="K476">
        <v>238.52</v>
      </c>
      <c r="L476">
        <v>15.66</v>
      </c>
      <c r="M476">
        <v>0.56999999999999995</v>
      </c>
    </row>
    <row r="477" spans="1:13" x14ac:dyDescent="0.35">
      <c r="A477" t="s">
        <v>496</v>
      </c>
      <c r="B477" s="1">
        <v>43444</v>
      </c>
      <c r="C477" t="s">
        <v>533</v>
      </c>
      <c r="D477" t="s">
        <v>20</v>
      </c>
      <c r="E477" t="s">
        <v>540</v>
      </c>
      <c r="F477" t="s">
        <v>547</v>
      </c>
      <c r="G477" t="s">
        <v>494</v>
      </c>
      <c r="H477">
        <v>3505.6</v>
      </c>
      <c r="I477">
        <v>0.03</v>
      </c>
      <c r="J477">
        <v>26</v>
      </c>
      <c r="K477">
        <v>1019.7</v>
      </c>
      <c r="L477">
        <v>12.65</v>
      </c>
      <c r="M477" t="s">
        <v>32</v>
      </c>
    </row>
    <row r="478" spans="1:13" x14ac:dyDescent="0.35">
      <c r="A478" t="s">
        <v>511</v>
      </c>
      <c r="B478" s="1">
        <v>43445</v>
      </c>
      <c r="C478" t="s">
        <v>535</v>
      </c>
      <c r="D478" t="s">
        <v>12</v>
      </c>
      <c r="E478" t="s">
        <v>538</v>
      </c>
      <c r="F478" t="s">
        <v>554</v>
      </c>
      <c r="G478" t="s">
        <v>510</v>
      </c>
      <c r="H478">
        <v>334.71</v>
      </c>
      <c r="I478">
        <v>0.01</v>
      </c>
      <c r="J478">
        <v>25</v>
      </c>
      <c r="K478">
        <v>31.74</v>
      </c>
      <c r="L478">
        <v>6.47</v>
      </c>
      <c r="M478">
        <v>0.38</v>
      </c>
    </row>
    <row r="479" spans="1:13" x14ac:dyDescent="0.35">
      <c r="A479" t="s">
        <v>349</v>
      </c>
      <c r="B479" s="1">
        <v>43445</v>
      </c>
      <c r="C479" t="s">
        <v>537</v>
      </c>
      <c r="D479" t="s">
        <v>12</v>
      </c>
      <c r="E479" t="s">
        <v>538</v>
      </c>
      <c r="F479" t="s">
        <v>554</v>
      </c>
      <c r="G479" t="s">
        <v>348</v>
      </c>
      <c r="H479">
        <v>54.3</v>
      </c>
      <c r="I479">
        <v>0.1</v>
      </c>
      <c r="J479">
        <v>6</v>
      </c>
      <c r="K479">
        <v>1.27</v>
      </c>
      <c r="L479">
        <v>2.0299999999999998</v>
      </c>
      <c r="M479">
        <v>0.37</v>
      </c>
    </row>
    <row r="480" spans="1:13" x14ac:dyDescent="0.35">
      <c r="A480" t="s">
        <v>390</v>
      </c>
      <c r="B480" s="1">
        <v>43446</v>
      </c>
      <c r="C480" t="s">
        <v>536</v>
      </c>
      <c r="D480" t="s">
        <v>18</v>
      </c>
      <c r="E480" t="s">
        <v>540</v>
      </c>
      <c r="F480" t="s">
        <v>553</v>
      </c>
      <c r="G480" t="s">
        <v>388</v>
      </c>
      <c r="H480">
        <v>690.88</v>
      </c>
      <c r="I480">
        <v>0.08</v>
      </c>
      <c r="J480">
        <v>32</v>
      </c>
      <c r="K480">
        <v>119.25</v>
      </c>
      <c r="L480">
        <v>7.58</v>
      </c>
      <c r="M480">
        <v>0.51</v>
      </c>
    </row>
    <row r="481" spans="1:13" x14ac:dyDescent="0.35">
      <c r="A481" t="s">
        <v>311</v>
      </c>
      <c r="B481" s="1">
        <v>43446</v>
      </c>
      <c r="C481" t="s">
        <v>535</v>
      </c>
      <c r="D481" t="s">
        <v>18</v>
      </c>
      <c r="E481" t="s">
        <v>540</v>
      </c>
      <c r="F481" t="s">
        <v>553</v>
      </c>
      <c r="G481" t="s">
        <v>312</v>
      </c>
      <c r="H481">
        <v>691.09</v>
      </c>
      <c r="I481">
        <v>0.08</v>
      </c>
      <c r="J481">
        <v>9</v>
      </c>
      <c r="K481">
        <v>364.03</v>
      </c>
      <c r="L481">
        <v>19.989999999999998</v>
      </c>
      <c r="M481">
        <v>0.43</v>
      </c>
    </row>
    <row r="482" spans="1:13" x14ac:dyDescent="0.35">
      <c r="A482" t="s">
        <v>311</v>
      </c>
      <c r="B482" s="1">
        <v>43446</v>
      </c>
      <c r="C482" t="s">
        <v>535</v>
      </c>
      <c r="D482" t="s">
        <v>10</v>
      </c>
      <c r="E482" t="s">
        <v>538</v>
      </c>
      <c r="F482" t="s">
        <v>544</v>
      </c>
      <c r="G482" t="s">
        <v>312</v>
      </c>
      <c r="H482">
        <v>713.7</v>
      </c>
      <c r="I482">
        <v>0.02</v>
      </c>
      <c r="J482">
        <v>33</v>
      </c>
      <c r="K482">
        <v>176.09</v>
      </c>
      <c r="L482">
        <v>2.87</v>
      </c>
      <c r="M482">
        <v>0.55000000000000004</v>
      </c>
    </row>
    <row r="483" spans="1:13" x14ac:dyDescent="0.35">
      <c r="A483" t="s">
        <v>78</v>
      </c>
      <c r="B483" s="1">
        <v>43446</v>
      </c>
      <c r="C483" t="s">
        <v>535</v>
      </c>
      <c r="D483" t="s">
        <v>22</v>
      </c>
      <c r="E483" t="s">
        <v>538</v>
      </c>
      <c r="F483" t="s">
        <v>551</v>
      </c>
      <c r="G483" t="s">
        <v>75</v>
      </c>
      <c r="H483">
        <v>270.73</v>
      </c>
      <c r="I483">
        <v>0.1</v>
      </c>
      <c r="J483">
        <v>32</v>
      </c>
      <c r="K483">
        <v>-54.57</v>
      </c>
      <c r="L483">
        <v>6.28</v>
      </c>
      <c r="M483">
        <v>0.35</v>
      </c>
    </row>
    <row r="484" spans="1:13" x14ac:dyDescent="0.35">
      <c r="A484" t="s">
        <v>92</v>
      </c>
      <c r="B484" s="1">
        <v>43446</v>
      </c>
      <c r="C484" t="s">
        <v>534</v>
      </c>
      <c r="D484" t="s">
        <v>12</v>
      </c>
      <c r="E484" t="s">
        <v>538</v>
      </c>
      <c r="F484" t="s">
        <v>554</v>
      </c>
      <c r="G484" t="s">
        <v>91</v>
      </c>
      <c r="H484">
        <v>240.18</v>
      </c>
      <c r="I484">
        <v>0.06</v>
      </c>
      <c r="J484">
        <v>40</v>
      </c>
      <c r="K484">
        <v>-160.21</v>
      </c>
      <c r="L484">
        <v>7.64</v>
      </c>
      <c r="M484">
        <v>0.36</v>
      </c>
    </row>
    <row r="485" spans="1:13" x14ac:dyDescent="0.35">
      <c r="A485" t="s">
        <v>92</v>
      </c>
      <c r="B485" s="1">
        <v>43446</v>
      </c>
      <c r="C485" t="s">
        <v>534</v>
      </c>
      <c r="D485" t="s">
        <v>25</v>
      </c>
      <c r="E485" t="s">
        <v>538</v>
      </c>
      <c r="F485" t="s">
        <v>539</v>
      </c>
      <c r="G485" t="s">
        <v>91</v>
      </c>
      <c r="H485">
        <v>529.28</v>
      </c>
      <c r="I485">
        <v>0.1</v>
      </c>
      <c r="J485">
        <v>45</v>
      </c>
      <c r="K485">
        <v>-30.27</v>
      </c>
      <c r="L485">
        <v>4.8099999999999996</v>
      </c>
      <c r="M485">
        <v>0.57999999999999996</v>
      </c>
    </row>
    <row r="486" spans="1:13" x14ac:dyDescent="0.35">
      <c r="A486" t="s">
        <v>326</v>
      </c>
      <c r="B486" s="1">
        <v>43446</v>
      </c>
      <c r="C486" t="s">
        <v>535</v>
      </c>
      <c r="D486" t="s">
        <v>16</v>
      </c>
      <c r="E486" t="s">
        <v>540</v>
      </c>
      <c r="F486" t="s">
        <v>542</v>
      </c>
      <c r="G486" t="s">
        <v>325</v>
      </c>
      <c r="H486">
        <v>302.91000000000003</v>
      </c>
      <c r="I486">
        <v>0.04</v>
      </c>
      <c r="J486">
        <v>2</v>
      </c>
      <c r="K486">
        <v>-186.13</v>
      </c>
      <c r="L486">
        <v>51.94</v>
      </c>
      <c r="M486">
        <v>0.63</v>
      </c>
    </row>
    <row r="487" spans="1:13" x14ac:dyDescent="0.35">
      <c r="A487" t="s">
        <v>326</v>
      </c>
      <c r="B487" s="1">
        <v>43446</v>
      </c>
      <c r="C487" t="s">
        <v>535</v>
      </c>
      <c r="D487" t="s">
        <v>11</v>
      </c>
      <c r="E487" t="s">
        <v>545</v>
      </c>
      <c r="F487" t="s">
        <v>552</v>
      </c>
      <c r="G487" t="s">
        <v>325</v>
      </c>
      <c r="H487">
        <v>842.61350000000004</v>
      </c>
      <c r="I487">
        <v>0.1</v>
      </c>
      <c r="J487">
        <v>29</v>
      </c>
      <c r="K487">
        <v>-208.43</v>
      </c>
      <c r="L487">
        <v>5</v>
      </c>
      <c r="M487">
        <v>0.82</v>
      </c>
    </row>
    <row r="488" spans="1:13" x14ac:dyDescent="0.35">
      <c r="A488" t="s">
        <v>173</v>
      </c>
      <c r="B488" s="1">
        <v>43446</v>
      </c>
      <c r="C488" t="s">
        <v>533</v>
      </c>
      <c r="D488" t="s">
        <v>26</v>
      </c>
      <c r="E488" t="s">
        <v>545</v>
      </c>
      <c r="F488" t="s">
        <v>556</v>
      </c>
      <c r="G488" t="s">
        <v>171</v>
      </c>
      <c r="H488">
        <v>1082.43</v>
      </c>
      <c r="I488">
        <v>0.06</v>
      </c>
      <c r="J488">
        <v>23</v>
      </c>
      <c r="K488">
        <v>23.97</v>
      </c>
      <c r="L488">
        <v>3.61</v>
      </c>
      <c r="M488">
        <v>0.71</v>
      </c>
    </row>
    <row r="489" spans="1:13" x14ac:dyDescent="0.35">
      <c r="A489" t="s">
        <v>116</v>
      </c>
      <c r="B489" s="1">
        <v>43446</v>
      </c>
      <c r="C489" t="s">
        <v>536</v>
      </c>
      <c r="D489" t="s">
        <v>27</v>
      </c>
      <c r="E489" t="s">
        <v>545</v>
      </c>
      <c r="F489" t="s">
        <v>546</v>
      </c>
      <c r="G489" t="s">
        <v>117</v>
      </c>
      <c r="H489">
        <v>14475.74</v>
      </c>
      <c r="I489">
        <v>0.06</v>
      </c>
      <c r="J489">
        <v>28</v>
      </c>
      <c r="K489">
        <v>4963.8900000000003</v>
      </c>
      <c r="L489">
        <v>49</v>
      </c>
      <c r="M489">
        <v>0.35</v>
      </c>
    </row>
    <row r="490" spans="1:13" x14ac:dyDescent="0.35">
      <c r="A490" t="s">
        <v>116</v>
      </c>
      <c r="B490" s="1">
        <v>43446</v>
      </c>
      <c r="C490" t="s">
        <v>536</v>
      </c>
      <c r="D490" t="s">
        <v>11</v>
      </c>
      <c r="E490" t="s">
        <v>545</v>
      </c>
      <c r="F490" t="s">
        <v>552</v>
      </c>
      <c r="G490" t="s">
        <v>117</v>
      </c>
      <c r="H490">
        <v>306.62049999999999</v>
      </c>
      <c r="I490">
        <v>0.08</v>
      </c>
      <c r="J490">
        <v>3</v>
      </c>
      <c r="K490">
        <v>-479.08</v>
      </c>
      <c r="L490">
        <v>5.99</v>
      </c>
      <c r="M490">
        <v>0.56999999999999995</v>
      </c>
    </row>
    <row r="491" spans="1:13" x14ac:dyDescent="0.35">
      <c r="A491" t="s">
        <v>391</v>
      </c>
      <c r="B491" s="1">
        <v>43448</v>
      </c>
      <c r="C491" t="s">
        <v>534</v>
      </c>
      <c r="D491" t="s">
        <v>26</v>
      </c>
      <c r="E491" t="s">
        <v>545</v>
      </c>
      <c r="F491" t="s">
        <v>556</v>
      </c>
      <c r="G491" t="s">
        <v>388</v>
      </c>
      <c r="H491">
        <v>230.72</v>
      </c>
      <c r="I491">
        <v>0.08</v>
      </c>
      <c r="J491">
        <v>11</v>
      </c>
      <c r="K491">
        <v>-68.760000000000005</v>
      </c>
      <c r="L491">
        <v>5.99</v>
      </c>
      <c r="M491">
        <v>0.65</v>
      </c>
    </row>
    <row r="492" spans="1:13" x14ac:dyDescent="0.35">
      <c r="A492" t="s">
        <v>391</v>
      </c>
      <c r="B492" s="1">
        <v>43448</v>
      </c>
      <c r="C492" t="s">
        <v>534</v>
      </c>
      <c r="D492" t="s">
        <v>25</v>
      </c>
      <c r="E492" t="s">
        <v>538</v>
      </c>
      <c r="F492" t="s">
        <v>539</v>
      </c>
      <c r="G492" t="s">
        <v>388</v>
      </c>
      <c r="H492">
        <v>142.15</v>
      </c>
      <c r="I492">
        <v>0.09</v>
      </c>
      <c r="J492">
        <v>10</v>
      </c>
      <c r="K492">
        <v>-58.18</v>
      </c>
      <c r="L492">
        <v>9.3699999999999992</v>
      </c>
      <c r="M492">
        <v>0.56000000000000005</v>
      </c>
    </row>
    <row r="493" spans="1:13" x14ac:dyDescent="0.35">
      <c r="A493" t="s">
        <v>391</v>
      </c>
      <c r="B493" s="1">
        <v>43448</v>
      </c>
      <c r="C493" t="s">
        <v>534</v>
      </c>
      <c r="D493" t="s">
        <v>10</v>
      </c>
      <c r="E493" t="s">
        <v>538</v>
      </c>
      <c r="F493" t="s">
        <v>544</v>
      </c>
      <c r="G493" t="s">
        <v>388</v>
      </c>
      <c r="H493">
        <v>88.7</v>
      </c>
      <c r="I493">
        <v>0.06</v>
      </c>
      <c r="J493">
        <v>33</v>
      </c>
      <c r="K493">
        <v>-89.13</v>
      </c>
      <c r="L493">
        <v>4.28</v>
      </c>
      <c r="M493">
        <v>0.44</v>
      </c>
    </row>
    <row r="494" spans="1:13" x14ac:dyDescent="0.35">
      <c r="A494" t="s">
        <v>391</v>
      </c>
      <c r="B494" s="1">
        <v>43448</v>
      </c>
      <c r="C494" t="s">
        <v>534</v>
      </c>
      <c r="D494" t="s">
        <v>12</v>
      </c>
      <c r="E494" t="s">
        <v>538</v>
      </c>
      <c r="F494" t="s">
        <v>554</v>
      </c>
      <c r="G494" t="s">
        <v>388</v>
      </c>
      <c r="H494">
        <v>293.47000000000003</v>
      </c>
      <c r="I494">
        <v>0.06</v>
      </c>
      <c r="J494">
        <v>45</v>
      </c>
      <c r="K494">
        <v>-205.38</v>
      </c>
      <c r="L494">
        <v>8.4</v>
      </c>
      <c r="M494">
        <v>0.37</v>
      </c>
    </row>
    <row r="495" spans="1:13" x14ac:dyDescent="0.35">
      <c r="A495" t="s">
        <v>391</v>
      </c>
      <c r="B495" s="1">
        <v>43448</v>
      </c>
      <c r="C495" t="s">
        <v>534</v>
      </c>
      <c r="D495" t="s">
        <v>9</v>
      </c>
      <c r="E495" t="s">
        <v>538</v>
      </c>
      <c r="F495" t="s">
        <v>548</v>
      </c>
      <c r="G495" t="s">
        <v>388</v>
      </c>
      <c r="H495">
        <v>262.77999999999997</v>
      </c>
      <c r="I495">
        <v>0.04</v>
      </c>
      <c r="J495">
        <v>23</v>
      </c>
      <c r="K495">
        <v>19.36</v>
      </c>
      <c r="L495">
        <v>3.37</v>
      </c>
      <c r="M495">
        <v>0.56999999999999995</v>
      </c>
    </row>
    <row r="496" spans="1:13" x14ac:dyDescent="0.35">
      <c r="A496" t="s">
        <v>291</v>
      </c>
      <c r="B496" s="1">
        <v>43450</v>
      </c>
      <c r="C496" t="s">
        <v>535</v>
      </c>
      <c r="D496" t="s">
        <v>13</v>
      </c>
      <c r="E496" t="s">
        <v>545</v>
      </c>
      <c r="F496" t="s">
        <v>549</v>
      </c>
      <c r="G496" t="s">
        <v>288</v>
      </c>
      <c r="H496">
        <v>1601.32</v>
      </c>
      <c r="I496">
        <v>0.04</v>
      </c>
      <c r="J496">
        <v>13</v>
      </c>
      <c r="K496">
        <v>377.81</v>
      </c>
      <c r="L496">
        <v>14</v>
      </c>
      <c r="M496">
        <v>0.36</v>
      </c>
    </row>
    <row r="497" spans="1:13" x14ac:dyDescent="0.35">
      <c r="A497" t="s">
        <v>424</v>
      </c>
      <c r="B497" s="1">
        <v>43452</v>
      </c>
      <c r="C497" t="s">
        <v>533</v>
      </c>
      <c r="D497" t="s">
        <v>11</v>
      </c>
      <c r="E497" t="s">
        <v>545</v>
      </c>
      <c r="F497" t="s">
        <v>552</v>
      </c>
      <c r="G497" t="s">
        <v>425</v>
      </c>
      <c r="H497">
        <v>1064.7864999999999</v>
      </c>
      <c r="I497">
        <v>0.1</v>
      </c>
      <c r="J497">
        <v>12</v>
      </c>
      <c r="K497">
        <v>-181.01</v>
      </c>
      <c r="L497">
        <v>2.5</v>
      </c>
      <c r="M497">
        <v>0.57999999999999996</v>
      </c>
    </row>
    <row r="498" spans="1:13" x14ac:dyDescent="0.35">
      <c r="A498" t="s">
        <v>342</v>
      </c>
      <c r="B498" s="1">
        <v>43458</v>
      </c>
      <c r="C498" t="s">
        <v>537</v>
      </c>
      <c r="D498" t="s">
        <v>22</v>
      </c>
      <c r="E498" t="s">
        <v>538</v>
      </c>
      <c r="F498" t="s">
        <v>551</v>
      </c>
      <c r="G498" t="s">
        <v>341</v>
      </c>
      <c r="H498">
        <v>1281.28</v>
      </c>
      <c r="I498">
        <v>0.05</v>
      </c>
      <c r="J498">
        <v>43</v>
      </c>
      <c r="K498">
        <v>415.85</v>
      </c>
      <c r="L498">
        <v>6.27</v>
      </c>
      <c r="M498">
        <v>0.37</v>
      </c>
    </row>
    <row r="499" spans="1:13" x14ac:dyDescent="0.35">
      <c r="A499" t="s">
        <v>342</v>
      </c>
      <c r="B499" s="1">
        <v>43458</v>
      </c>
      <c r="C499" t="s">
        <v>537</v>
      </c>
      <c r="D499" t="s">
        <v>16</v>
      </c>
      <c r="E499" t="s">
        <v>540</v>
      </c>
      <c r="F499" t="s">
        <v>542</v>
      </c>
      <c r="G499" t="s">
        <v>341</v>
      </c>
      <c r="H499">
        <v>1940.31</v>
      </c>
      <c r="I499">
        <v>0.03</v>
      </c>
      <c r="J499">
        <v>13</v>
      </c>
      <c r="K499">
        <v>-668.19</v>
      </c>
      <c r="L499">
        <v>80.2</v>
      </c>
      <c r="M499">
        <v>0.71</v>
      </c>
    </row>
    <row r="500" spans="1:13" x14ac:dyDescent="0.35">
      <c r="A500" t="s">
        <v>342</v>
      </c>
      <c r="B500" s="1">
        <v>43458</v>
      </c>
      <c r="C500" t="s">
        <v>537</v>
      </c>
      <c r="D500" t="s">
        <v>11</v>
      </c>
      <c r="E500" t="s">
        <v>545</v>
      </c>
      <c r="F500" t="s">
        <v>552</v>
      </c>
      <c r="G500" t="s">
        <v>341</v>
      </c>
      <c r="H500">
        <v>430.84800000000001</v>
      </c>
      <c r="I500">
        <v>0.06</v>
      </c>
      <c r="J500">
        <v>4</v>
      </c>
      <c r="K500">
        <v>-492.77</v>
      </c>
      <c r="L500">
        <v>5.63</v>
      </c>
      <c r="M500">
        <v>0.6</v>
      </c>
    </row>
    <row r="501" spans="1:13" x14ac:dyDescent="0.35">
      <c r="A501" t="s">
        <v>397</v>
      </c>
      <c r="B501" s="1">
        <v>43465</v>
      </c>
      <c r="C501" t="s">
        <v>533</v>
      </c>
      <c r="D501" t="s">
        <v>15</v>
      </c>
      <c r="E501" t="s">
        <v>538</v>
      </c>
      <c r="F501" t="s">
        <v>550</v>
      </c>
      <c r="G501" t="s">
        <v>393</v>
      </c>
      <c r="H501">
        <v>1339.25</v>
      </c>
      <c r="I501">
        <v>0.03</v>
      </c>
      <c r="J501">
        <v>24</v>
      </c>
      <c r="K501">
        <v>142.51</v>
      </c>
      <c r="L501">
        <v>13.22</v>
      </c>
      <c r="M501">
        <v>0.56000000000000005</v>
      </c>
    </row>
    <row r="502" spans="1:13" x14ac:dyDescent="0.35">
      <c r="A502" t="s">
        <v>277</v>
      </c>
      <c r="B502" s="1">
        <v>43226</v>
      </c>
      <c r="C502" t="s">
        <v>534</v>
      </c>
      <c r="D502" t="s">
        <v>15</v>
      </c>
      <c r="E502" t="s">
        <v>538</v>
      </c>
      <c r="F502" t="s">
        <v>550</v>
      </c>
      <c r="G502" t="s">
        <v>278</v>
      </c>
      <c r="H502">
        <v>605.1</v>
      </c>
      <c r="I502">
        <v>0.04</v>
      </c>
      <c r="J502">
        <v>15</v>
      </c>
      <c r="K502">
        <v>92.81</v>
      </c>
      <c r="L502">
        <v>5.33</v>
      </c>
      <c r="M502">
        <v>0.56999999999999995</v>
      </c>
    </row>
  </sheetData>
  <sortState xmlns:xlrd2="http://schemas.microsoft.com/office/spreadsheetml/2017/richdata2" ref="A2:M7865">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 of Contents</vt:lpstr>
      <vt:lpstr>Q1 - Quarterly</vt:lpstr>
      <vt:lpstr>Q2 - 2018 vs 2019</vt:lpstr>
      <vt:lpstr>Q3 - Quantity Sold</vt:lpstr>
      <vt:lpstr>Q4 - Profit by Category</vt:lpstr>
      <vt:lpstr>Q5 - Sales by Month</vt:lpstr>
      <vt:lpstr>Q6 - Qtr. Profit</vt:lpstr>
      <vt:lpstr>Q7 - Revenue 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Tatipamula, Mayukh</cp:lastModifiedBy>
  <dcterms:created xsi:type="dcterms:W3CDTF">2019-08-29T14:20:56Z</dcterms:created>
  <dcterms:modified xsi:type="dcterms:W3CDTF">2025-04-30T21:54:51Z</dcterms:modified>
</cp:coreProperties>
</file>